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Capstone_FoodResQ_Web\outputs\report5-foodresq\"/>
    </mc:Choice>
  </mc:AlternateContent>
  <xr:revisionPtr revIDLastSave="0" documentId="13_ncr:20001_{4B0AE03B-AAED-4555-9EC7-05F61B155BF2}" xr6:coauthVersionLast="47" xr6:coauthVersionMax="47" xr10:uidLastSave="{00000000-0000-0000-0000-000000000000}"/>
  <bookViews>
    <workbookView xWindow="-108" yWindow="-108" windowWidth="23256" windowHeight="12456" firstSheet="7" activeTab="13" xr2:uid="{00000000-000D-0000-FFFF-FFFF00000000}"/>
  </bookViews>
  <sheets>
    <sheet name="Cover" sheetId="1" r:id="rId1"/>
    <sheet name="Test Cases" sheetId="2" r:id="rId2"/>
    <sheet name="Test Statistics" sheetId="3" r:id="rId3"/>
    <sheet name="Delivery Shipper" sheetId="4" r:id="rId4"/>
    <sheet name="Food Listings" sheetId="5" r:id="rId5"/>
    <sheet name="Reservations QR" sheetId="6" r:id="rId6"/>
    <sheet name="Bulk Notifications" sheetId="7" r:id="rId7"/>
    <sheet name="Register eKYC" sheetId="8" r:id="rId8"/>
    <sheet name="Profile Trust" sheetId="9" r:id="rId9"/>
    <sheet name="Logout" sheetId="10" r:id="rId10"/>
    <sheet name="Password" sheetId="11" r:id="rId11"/>
    <sheet name="Login" sheetId="12" r:id="rId12"/>
    <sheet name="Admin Controls" sheetId="13" r:id="rId13"/>
    <sheet name="Campaign Kitchen Ops" sheetId="14" r:id="rId14"/>
  </sheets>
  <definedNames>
    <definedName name="ACTION" localSheetId="0">#REF!</definedName>
    <definedName name="ACTION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4" l="1"/>
  <c r="D8" i="14"/>
  <c r="C8" i="14"/>
  <c r="B8" i="14"/>
  <c r="E7" i="14"/>
  <c r="D7" i="14"/>
  <c r="C7" i="14"/>
  <c r="B7" i="14"/>
  <c r="E6" i="14"/>
  <c r="D6" i="14"/>
  <c r="C6" i="14"/>
  <c r="B6" i="14"/>
  <c r="E8" i="13"/>
  <c r="D8" i="13"/>
  <c r="C8" i="13"/>
  <c r="B8" i="13"/>
  <c r="E7" i="13"/>
  <c r="D7" i="13"/>
  <c r="C7" i="13"/>
  <c r="B7" i="13"/>
  <c r="E6" i="13"/>
  <c r="D6" i="13"/>
  <c r="C6" i="13"/>
  <c r="B6" i="13"/>
  <c r="E8" i="12"/>
  <c r="D8" i="12"/>
  <c r="C8" i="12"/>
  <c r="B8" i="12"/>
  <c r="E7" i="12"/>
  <c r="D7" i="12"/>
  <c r="C7" i="12"/>
  <c r="B7" i="12"/>
  <c r="E6" i="12"/>
  <c r="G11" i="3" s="1"/>
  <c r="D6" i="12"/>
  <c r="F11" i="3" s="1"/>
  <c r="C6" i="12"/>
  <c r="E11" i="3" s="1"/>
  <c r="B6" i="12"/>
  <c r="D11" i="3" s="1"/>
  <c r="E8" i="11"/>
  <c r="D8" i="11"/>
  <c r="C8" i="11"/>
  <c r="B8" i="11"/>
  <c r="E7" i="11"/>
  <c r="D7" i="11"/>
  <c r="C7" i="11"/>
  <c r="B7" i="11"/>
  <c r="E6" i="11"/>
  <c r="G14" i="3" s="1"/>
  <c r="D6" i="11"/>
  <c r="F14" i="3" s="1"/>
  <c r="C6" i="11"/>
  <c r="E14" i="3" s="1"/>
  <c r="B6" i="11"/>
  <c r="D14" i="3" s="1"/>
  <c r="E8" i="10"/>
  <c r="D8" i="10"/>
  <c r="C8" i="10"/>
  <c r="B8" i="10"/>
  <c r="E7" i="10"/>
  <c r="D7" i="10"/>
  <c r="C7" i="10"/>
  <c r="B7" i="10"/>
  <c r="E6" i="10"/>
  <c r="G13" i="3" s="1"/>
  <c r="D6" i="10"/>
  <c r="F13" i="3" s="1"/>
  <c r="C6" i="10"/>
  <c r="E13" i="3" s="1"/>
  <c r="B6" i="10"/>
  <c r="D13" i="3" s="1"/>
  <c r="E8" i="9"/>
  <c r="D8" i="9"/>
  <c r="C8" i="9"/>
  <c r="B8" i="9"/>
  <c r="E7" i="9"/>
  <c r="D7" i="9"/>
  <c r="C7" i="9"/>
  <c r="B7" i="9"/>
  <c r="E6" i="9"/>
  <c r="G15" i="3" s="1"/>
  <c r="D6" i="9"/>
  <c r="F15" i="3" s="1"/>
  <c r="C6" i="9"/>
  <c r="E15" i="3" s="1"/>
  <c r="B6" i="9"/>
  <c r="D15" i="3" s="1"/>
  <c r="E8" i="8"/>
  <c r="D8" i="8"/>
  <c r="C8" i="8"/>
  <c r="B8" i="8"/>
  <c r="E7" i="8"/>
  <c r="D7" i="8"/>
  <c r="C7" i="8"/>
  <c r="B7" i="8"/>
  <c r="E6" i="8"/>
  <c r="G12" i="3" s="1"/>
  <c r="D6" i="8"/>
  <c r="F12" i="3" s="1"/>
  <c r="C6" i="8"/>
  <c r="E12" i="3" s="1"/>
  <c r="B6" i="8"/>
  <c r="D12" i="3" s="1"/>
  <c r="E8" i="7"/>
  <c r="D8" i="7"/>
  <c r="C8" i="7"/>
  <c r="B8" i="7"/>
  <c r="E7" i="7"/>
  <c r="D7" i="7"/>
  <c r="C7" i="7"/>
  <c r="B7" i="7"/>
  <c r="E6" i="7"/>
  <c r="G21" i="3" s="1"/>
  <c r="D6" i="7"/>
  <c r="F21" i="3" s="1"/>
  <c r="C6" i="7"/>
  <c r="E21" i="3" s="1"/>
  <c r="B6" i="7"/>
  <c r="D21" i="3" s="1"/>
  <c r="E8" i="6"/>
  <c r="D8" i="6"/>
  <c r="C8" i="6"/>
  <c r="B8" i="6"/>
  <c r="E7" i="6"/>
  <c r="D7" i="6"/>
  <c r="C7" i="6"/>
  <c r="B7" i="6"/>
  <c r="E6" i="6"/>
  <c r="G18" i="3" s="1"/>
  <c r="D6" i="6"/>
  <c r="F18" i="3" s="1"/>
  <c r="C6" i="6"/>
  <c r="E18" i="3" s="1"/>
  <c r="B6" i="6"/>
  <c r="D18" i="3" s="1"/>
  <c r="E8" i="5"/>
  <c r="D8" i="5"/>
  <c r="C8" i="5"/>
  <c r="B8" i="5"/>
  <c r="E7" i="5"/>
  <c r="D7" i="5"/>
  <c r="C7" i="5"/>
  <c r="B7" i="5"/>
  <c r="E6" i="5"/>
  <c r="G17" i="3" s="1"/>
  <c r="D6" i="5"/>
  <c r="F17" i="3" s="1"/>
  <c r="C6" i="5"/>
  <c r="E17" i="3" s="1"/>
  <c r="B6" i="5"/>
  <c r="D17" i="3" s="1"/>
  <c r="E8" i="4"/>
  <c r="D8" i="4"/>
  <c r="C8" i="4"/>
  <c r="B8" i="4"/>
  <c r="E7" i="4"/>
  <c r="D7" i="4"/>
  <c r="C7" i="4"/>
  <c r="B7" i="4"/>
  <c r="E6" i="4"/>
  <c r="G19" i="3" s="1"/>
  <c r="D6" i="4"/>
  <c r="F19" i="3" s="1"/>
  <c r="C6" i="4"/>
  <c r="E19" i="3" s="1"/>
  <c r="B6" i="4"/>
  <c r="D19" i="3" s="1"/>
  <c r="H21" i="3"/>
  <c r="C21" i="3"/>
  <c r="H20" i="3"/>
  <c r="G20" i="3"/>
  <c r="F20" i="3"/>
  <c r="E20" i="3"/>
  <c r="D20" i="3"/>
  <c r="C20" i="3"/>
  <c r="H19" i="3"/>
  <c r="C19" i="3"/>
  <c r="H18" i="3"/>
  <c r="C18" i="3"/>
  <c r="H17" i="3"/>
  <c r="C17" i="3"/>
  <c r="H16" i="3"/>
  <c r="H23" i="3" s="1"/>
  <c r="G16" i="3"/>
  <c r="F16" i="3"/>
  <c r="E16" i="3"/>
  <c r="D16" i="3"/>
  <c r="C16" i="3"/>
  <c r="H15" i="3"/>
  <c r="C15" i="3"/>
  <c r="H14" i="3"/>
  <c r="C14" i="3"/>
  <c r="H13" i="3"/>
  <c r="C13" i="3"/>
  <c r="H12" i="3"/>
  <c r="C12" i="3"/>
  <c r="H11" i="3"/>
  <c r="C11" i="3"/>
  <c r="C5" i="3"/>
  <c r="D107" i="2"/>
  <c r="D79" i="2"/>
  <c r="D65" i="2"/>
  <c r="D58" i="2"/>
  <c r="D44" i="2"/>
  <c r="D36" i="2"/>
  <c r="D26" i="2"/>
  <c r="D24" i="2"/>
  <c r="D23" i="2"/>
  <c r="D15" i="2"/>
  <c r="D9" i="2"/>
  <c r="B6" i="1"/>
  <c r="G23" i="3" l="1"/>
  <c r="E23" i="3"/>
  <c r="D23" i="3"/>
  <c r="F2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0" authorId="0" shapeId="0" xr:uid="{00000000-0006-0000-0000-000001000000}">
      <text>
        <r>
          <rPr>
            <sz val="11"/>
            <color rgb="FF000000"/>
            <rFont val="MS PGothic"/>
          </rPr>
          <t>======
ID#AAABt_5CBD8
    (2025-11-17 14:41:28)
*A: Add
  M: Modify
  D: Delete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0" authorId="0" shapeId="0" xr:uid="{00000000-0006-0000-0B00-000001000000}">
      <text>
        <r>
          <rPr>
            <sz val="11"/>
            <color rgb="FF000000"/>
            <rFont val="MS PGothic"/>
          </rPr>
          <t>======
ID#AAABt_5CBEE
tqsang    (2025-11-17 14:41:28)
List all test cases (must run before this case), conditions that must be done, or required state that the system should be in before performing this case</t>
        </r>
      </text>
    </comment>
  </commentList>
</comments>
</file>

<file path=xl/sharedStrings.xml><?xml version="1.0" encoding="utf-8"?>
<sst xmlns="http://schemas.openxmlformats.org/spreadsheetml/2006/main" count="1916" uniqueCount="638">
  <si>
    <t>TEST REPORT DOCUMENT</t>
  </si>
  <si>
    <t>Project Name</t>
  </si>
  <si>
    <t>Creator</t>
  </si>
  <si>
    <t>Project Code</t>
  </si>
  <si>
    <t>Issue Date</t>
  </si>
  <si>
    <t>Document Code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</si>
  <si>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</si>
  <si>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</si>
  <si>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</si>
  <si>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</si>
  <si>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</si>
  <si>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</si>
  <si>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</si>
  <si>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TEST CASE LIST</t>
  </si>
  <si>
    <t>Test Environment Setup Description</t>
  </si>
  <si>
    <t>No</t>
  </si>
  <si>
    <t>Function Name</t>
  </si>
  <si>
    <t>Sheet Name</t>
  </si>
  <si>
    <t>Description</t>
  </si>
  <si>
    <t>Pre-Condition</t>
  </si>
  <si>
    <t>TEST STATISTICS</t>
  </si>
  <si>
    <t>Reviewer/Approver</t>
  </si>
  <si>
    <t>Notes</t>
  </si>
  <si>
    <t>Module code</t>
  </si>
  <si>
    <t>Passed</t>
  </si>
  <si>
    <t>Failed</t>
  </si>
  <si>
    <t>Pending</t>
  </si>
  <si>
    <t>N/A</t>
  </si>
  <si>
    <t>Number of  test cases</t>
  </si>
  <si>
    <t>Feature</t>
  </si>
  <si>
    <t>Test requirement</t>
  </si>
  <si>
    <t>Number of TCs</t>
  </si>
  <si>
    <t>FoodResQ - Food Rescue and Donation Platform</t>
  </si>
  <si>
    <t>FoodResQ QA Team</t>
  </si>
  <si>
    <t>SP26SE088</t>
  </si>
  <si>
    <t>1</t>
  </si>
  <si>
    <t>Test case</t>
  </si>
  <si>
    <t>M</t>
  </si>
  <si>
    <t>Adapt test case list for FoodResQ project</t>
  </si>
  <si>
    <t>v1.0</t>
  </si>
  <si>
    <t>Test Statistics</t>
  </si>
  <si>
    <t>Adapt test statistics for FoodResQ project</t>
  </si>
  <si>
    <t>Module test sheets</t>
  </si>
  <si>
    <t>Replace sample LMS modules with FoodResQ functional flows</t>
  </si>
  <si>
    <t>Environment</t>
  </si>
  <si>
    <t>Update environment for NestJS, Next.js, React Native, PostgreSQL/PostGIS, Redis, and Socket.IO</t>
  </si>
  <si>
    <t>Traceability</t>
  </si>
  <si>
    <t>A</t>
  </si>
  <si>
    <t>Add reservation, delivery, bulk run, trust, and notification coverage</t>
  </si>
  <si>
    <t>Final review</t>
  </si>
  <si>
    <t>Review formulas and exported workbook layout</t>
  </si>
  <si>
    <t>1. Backend: NestJS API Server
2. Database: PostgreSQL + PostGIS
3. Frontend: Next.js web portal and React Native mobile app
4. Cache/Queue: Redis, BullMQ
5. Realtime: Socket.IO
6. File storage: S3/Cloudinary-compatible object storage
7. Browser: Chrome, Edge</t>
  </si>
  <si>
    <t>Login with valid receiver account</t>
  </si>
  <si>
    <t>User is authenticated and redirected to the receiver home screen.</t>
  </si>
  <si>
    <t>Receiver account exists and is active</t>
  </si>
  <si>
    <t>Login with invalid password</t>
  </si>
  <si>
    <t>System rejects login and displays an invalid credential message.</t>
  </si>
  <si>
    <t>User account exists</t>
  </si>
  <si>
    <t>Login with banned account</t>
  </si>
  <si>
    <t>System blocks login and shows account status message.</t>
  </si>
  <si>
    <t>Account status is banned</t>
  </si>
  <si>
    <t>Refresh access token</t>
  </si>
  <si>
    <t>Client refreshes token and continues the request without forcing logout.</t>
  </si>
  <si>
    <t>Refresh token is valid</t>
  </si>
  <si>
    <t>Reject expired refresh token</t>
  </si>
  <si>
    <t>System clears session and redirects user to sign in.</t>
  </si>
  <si>
    <t>Refresh token is expired or revoked</t>
  </si>
  <si>
    <t>Role guard blocks unauthorized route</t>
  </si>
  <si>
    <t>API returns forbidden response and no provider data is exposed.</t>
  </si>
  <si>
    <t>Receiver account is active</t>
  </si>
  <si>
    <t>Register receiver with valid information and selfie</t>
  </si>
  <si>
    <t>Receiver account is created and face enrollment status is completed.</t>
  </si>
  <si>
    <t>Email and phone are not registered</t>
  </si>
  <si>
    <t>Register receiver without selfie</t>
  </si>
  <si>
    <t>System rejects registration and asks for face enrollment.</t>
  </si>
  <si>
    <t>Register provider with business profile</t>
  </si>
  <si>
    <t>Provider profile is created and awaits verification when required.</t>
  </si>
  <si>
    <t>Provider email is not registered</t>
  </si>
  <si>
    <t>Register volunteer shipper with location permission</t>
  </si>
  <si>
    <t>Volunteer profile is created with availability disabled by default.</t>
  </si>
  <si>
    <t>Volunteer email is not registered</t>
  </si>
  <si>
    <t>Reject duplicate email</t>
  </si>
  <si>
    <t>System displays duplicate email validation error.</t>
  </si>
  <si>
    <t>Email already exists</t>
  </si>
  <si>
    <t>Reject weak password</t>
  </si>
  <si>
    <t>System displays password policy validation error.</t>
  </si>
  <si>
    <t>User has not registered</t>
  </si>
  <si>
    <t>Social-login account gated by face enrollment</t>
  </si>
  <si>
    <t>Face enrollment gate blocks reservation until selfie is enrolled.</t>
  </si>
  <si>
    <t>Social-login account exists without face enrollment</t>
  </si>
  <si>
    <t>Validate required address for delivery receiver</t>
  </si>
  <si>
    <t>System asks for a complete address and location.</t>
  </si>
  <si>
    <t>Receiver account registration is in progress</t>
  </si>
  <si>
    <t>Logout successfully</t>
  </si>
  <si>
    <t>Access token is removed, socket disconnects, and user returns to sign-in screen.</t>
  </si>
  <si>
    <t>User is signed in</t>
  </si>
  <si>
    <t>Request password reset for registered email</t>
  </si>
  <si>
    <t>System sends reset/OTP flow and displays confirmation.</t>
  </si>
  <si>
    <t>User email exists</t>
  </si>
  <si>
    <t>Reset password with valid OTP</t>
  </si>
  <si>
    <t>Password is updated and old credentials no longer work.</t>
  </si>
  <si>
    <t>User has a valid OTP</t>
  </si>
  <si>
    <t>View current user profile</t>
  </si>
  <si>
    <t>User information, role, trust score, and verification state are displayed.</t>
  </si>
  <si>
    <t>Update receiver delivery address</t>
  </si>
  <si>
    <t>Updated address and coordinates are saved successfully.</t>
  </si>
  <si>
    <t>Receiver is signed in</t>
  </si>
  <si>
    <t>Update provider business information</t>
  </si>
  <si>
    <t>Provider profile displays updated business information.</t>
  </si>
  <si>
    <t>Provider account exists</t>
  </si>
  <si>
    <t>Volunteer toggles availability</t>
  </si>
  <si>
    <t>Volunteer availability is updated and visible to delivery assignment service.</t>
  </si>
  <si>
    <t>Volunteer is verified</t>
  </si>
  <si>
    <t>Restricted user daily reservation limit</t>
  </si>
  <si>
    <t>System blocks reservation according to restricted daily limit.</t>
  </si>
  <si>
    <t>User trust score is at or below restriction threshold</t>
  </si>
  <si>
    <t>Banned user token revocation</t>
  </si>
  <si>
    <t>All refresh tokens are revoked and protected API access is denied.</t>
  </si>
  <si>
    <t>User status is banned</t>
  </si>
  <si>
    <t>View trust score history</t>
  </si>
  <si>
    <t>Trust score history displays reason, score change, and timestamp.</t>
  </si>
  <si>
    <t>User has trust score history records</t>
  </si>
  <si>
    <t>Apply no-show trust penalty</t>
  </si>
  <si>
    <t>Reservation becomes no_show, stock is restored, and receiver trust score decreases by 20 points.</t>
  </si>
  <si>
    <t>Receiver has a confirmed pickup reservation</t>
  </si>
  <si>
    <t>Warn and apply late cancellation penalty</t>
  </si>
  <si>
    <t>System shows late-cancel warning, cancels reservation, restores stock, and reduces trust by 10 points.</t>
  </si>
  <si>
    <t>Reservation is inside late cancellation window</t>
  </si>
  <si>
    <t>Apply food safety violation penalty</t>
  </si>
  <si>
    <t>Trust score decreases by 50 points and account restriction/ban threshold is applied if reached.</t>
  </si>
  <si>
    <t>Food safety violation evidence exists</t>
  </si>
  <si>
    <t>Admin reviews pending provider KYC</t>
  </si>
  <si>
    <t>Admin can view all submitted verification evidence and provider profile details.</t>
  </si>
  <si>
    <t>New provider account is pending verification</t>
  </si>
  <si>
    <t>Admin approves provider profile</t>
  </si>
  <si>
    <t>Provider status becomes active and provider can create food listings.</t>
  </si>
  <si>
    <t>Provider KYC information is valid</t>
  </si>
  <si>
    <t>Admin rejects incomplete provider profile</t>
  </si>
  <si>
    <t>Provider status is rejected and provider receives notification to correct missing information.</t>
  </si>
  <si>
    <t>Provider KYC information is incomplete or invalid</t>
  </si>
  <si>
    <t>Admin views and filters user list</t>
  </si>
  <si>
    <t>User list filters correctly and selected user detail displays role, status, and trust score.</t>
  </si>
  <si>
    <t>Users exist across multiple roles</t>
  </si>
  <si>
    <t>Admin bans user and revokes tokens</t>
  </si>
  <si>
    <t>User status becomes banned and all refresh tokens are revoked.</t>
  </si>
  <si>
    <t>User account exists and is eligible for moderation</t>
  </si>
  <si>
    <t>Admin monitors delivery status</t>
  </si>
  <si>
    <t>Admin sees current delivery status, assigned shipper, and lifecycle progress.</t>
  </si>
  <si>
    <t>Delivery exists in assigned or in-progress status</t>
  </si>
  <si>
    <t>Admin monitors bulk run progress</t>
  </si>
  <si>
    <t>Admin sees bulk run status, requested quantity, served quantity, and distribution progress.</t>
  </si>
  <si>
    <t>Bulk run exists with at least one distribution stop</t>
  </si>
  <si>
    <t>Admin processes violation report</t>
  </si>
  <si>
    <t>Report status updates and related user/listing/trust action is applied according to admin decision.</t>
  </si>
  <si>
    <t>Violation report exists</t>
  </si>
  <si>
    <t>View nearby active listings</t>
  </si>
  <si>
    <t>Only active listings within configured radius are displayed.</t>
  </si>
  <si>
    <t>Location permission is granted</t>
  </si>
  <si>
    <t>Search listings by keyword</t>
  </si>
  <si>
    <t>Listings matching keyword are shown with current availability.</t>
  </si>
  <si>
    <t>Active listings exist</t>
  </si>
  <si>
    <t>Filter listings by category</t>
  </si>
  <si>
    <t>Only listings in selected category are displayed.</t>
  </si>
  <si>
    <t>View listing details</t>
  </si>
  <si>
    <t>Food title, quantity, pickup address, pickup window, storage and allergen notes are displayed.</t>
  </si>
  <si>
    <t>Listing is active</t>
  </si>
  <si>
    <t>Create listing with valid data</t>
  </si>
  <si>
    <t>Listing is created in draft or active status according to provider flow.</t>
  </si>
  <si>
    <t>Provider is signed in</t>
  </si>
  <si>
    <t>Reject listing with invalid quantity</t>
  </si>
  <si>
    <t>System displays quantity validation error.</t>
  </si>
  <si>
    <t>Upload listing images</t>
  </si>
  <si>
    <t>Images are uploaded and linked to the listing.</t>
  </si>
  <si>
    <t>Publish draft listing</t>
  </si>
  <si>
    <t>Listing status becomes active and appears in receiver search.</t>
  </si>
  <si>
    <t>Provider owns a draft listing</t>
  </si>
  <si>
    <t>Update active listing</t>
  </si>
  <si>
    <t>Listing information is updated without changing reservations.</t>
  </si>
  <si>
    <t>Provider owns the listing</t>
  </si>
  <si>
    <t>Cancel listing</t>
  </si>
  <si>
    <t>Listing is no longer available for new reservations.</t>
  </si>
  <si>
    <t>Provider owns an active listing</t>
  </si>
  <si>
    <t>Reject expired pickup window</t>
  </si>
  <si>
    <t>Reservation action is disabled or API rejects the request.</t>
  </si>
  <si>
    <t>Pickup end time has passed</t>
  </si>
  <si>
    <t>Respect max per reservation</t>
  </si>
  <si>
    <t>System displays max quantity validation error.</t>
  </si>
  <si>
    <t>Listing has max per reservation configured</t>
  </si>
  <si>
    <t>Soft deleted listing hidden from search</t>
  </si>
  <si>
    <t>Deleted listing does not appear in search results.</t>
  </si>
  <si>
    <t>Listing has deleted_at set</t>
  </si>
  <si>
    <t>Map pin opens listing detail</t>
  </si>
  <si>
    <t>Selected marker opens the correct listing detail.</t>
  </si>
  <si>
    <t>Listings with pickup coordinates exist</t>
  </si>
  <si>
    <t>Create pickup reservation</t>
  </si>
  <si>
    <t>Reservation is confirmed, stock decreases, and QR token is generated.</t>
  </si>
  <si>
    <t>Receiver is signed in and face enrolled</t>
  </si>
  <si>
    <t>Reject reservation outside pickup window</t>
  </si>
  <si>
    <t>API rejects reservation with pickup window message.</t>
  </si>
  <si>
    <t>Listing pickup window is not open</t>
  </si>
  <si>
    <t>Reject reservation over daily limit</t>
  </si>
  <si>
    <t>System blocks request according to daily reservation limit.</t>
  </si>
  <si>
    <t>Receiver reached daily limit</t>
  </si>
  <si>
    <t>Prevent oversell under concurrent reservations</t>
  </si>
  <si>
    <t>Only one request succeeds and stock never becomes negative.</t>
  </si>
  <si>
    <t>Listing has one portion remaining</t>
  </si>
  <si>
    <t>Provider scans valid QR</t>
  </si>
  <si>
    <t>Reservation status changes to picked_up or completed according to pickup flow.</t>
  </si>
  <si>
    <t>Reservation is confirmed and QR not expired</t>
  </si>
  <si>
    <t>Reject expired QR</t>
  </si>
  <si>
    <t>System rejects QR and reservation is not completed.</t>
  </si>
  <si>
    <t>QR expires after configured validity</t>
  </si>
  <si>
    <t>Receiver cancels reservation before penalty window</t>
  </si>
  <si>
    <t>Reservation is cancelled, stock is restored, and no late penalty is applied.</t>
  </si>
  <si>
    <t>Reservation is confirmed</t>
  </si>
  <si>
    <t>Create delivery reservation</t>
  </si>
  <si>
    <t>Delivery record is created with pending assignment status.</t>
  </si>
  <si>
    <t>Receiver has address and location</t>
  </si>
  <si>
    <t>Broadcast delivery offer to nearest shippers</t>
  </si>
  <si>
    <t>Nearest available verified shippers receive delivery offer.</t>
  </si>
  <si>
    <t>Verified available shippers exist nearby</t>
  </si>
  <si>
    <t>Shipper accepts offer</t>
  </si>
  <si>
    <t>Delivery is assigned to the accepting shipper and other offers are closed.</t>
  </si>
  <si>
    <t>Delivery offer is active</t>
  </si>
  <si>
    <t>Second shipper cannot accept assigned delivery</t>
  </si>
  <si>
    <t>System rejects second acceptance and keeps original shipper assignment.</t>
  </si>
  <si>
    <t>Delivery is already assigned</t>
  </si>
  <si>
    <t>Shipper rejects offer</t>
  </si>
  <si>
    <t>Offer status becomes rejected and delivery can be offered to another shipper.</t>
  </si>
  <si>
    <t>Expire stale delivery offer</t>
  </si>
  <si>
    <t>Expired offer is closed and next nearest shippers are selected.</t>
  </si>
  <si>
    <t>Offer expires after configured time</t>
  </si>
  <si>
    <t>Assignment timeout cancels delivery reservation</t>
  </si>
  <si>
    <t>Delivery fails, reservation is cancelled without penalty, and stock is restored.</t>
  </si>
  <si>
    <t>No shipper accepts offer</t>
  </si>
  <si>
    <t>Update delivery lifecycle status</t>
  </si>
  <si>
    <t>Delivery status advances in the allowed order.</t>
  </si>
  <si>
    <t>Delivery is assigned</t>
  </si>
  <si>
    <t>Upload QC photo</t>
  </si>
  <si>
    <t>QC proof URL is saved and status can move to in_transit.</t>
  </si>
  <si>
    <t>Shipper reached provider</t>
  </si>
  <si>
    <t>Receiver tracks live shipper location</t>
  </si>
  <si>
    <t>Map updates with latest shipper location through socket event.</t>
  </si>
  <si>
    <t>Delivery is in progress</t>
  </si>
  <si>
    <t>Complete delivery with receiver QR</t>
  </si>
  <si>
    <t>Delivery is delivered, reservation is completed, and points/trust are updated.</t>
  </si>
  <si>
    <t>Delivery is in_transit</t>
  </si>
  <si>
    <t>Reject delivery completion without QR</t>
  </si>
  <si>
    <t>System blocks delivery completion until receiver QR is scanned.</t>
  </si>
  <si>
    <t>Auto-fail stalled delivery</t>
  </si>
  <si>
    <t>Delivery is marked failed and related users are notified.</t>
  </si>
  <si>
    <t>Delivery is stalled beyond configured hours</t>
  </si>
  <si>
    <t>Cancel delivery before pickup</t>
  </si>
  <si>
    <t>Delivery is cancelled, offers are recalled, and reservation stock is restored if applicable.</t>
  </si>
  <si>
    <t>Food has not been picked up</t>
  </si>
  <si>
    <t>Create charity kitchen campaign</t>
  </si>
  <si>
    <t>Campaign is created with planned menu items, shifts, kitchen location, and scheduled status.</t>
  </si>
  <si>
    <t>Charity organization account is active</t>
  </si>
  <si>
    <t>Reject invalid campaign schedule</t>
  </si>
  <si>
    <t>System rejects the campaign and displays schedule validation message.</t>
  </si>
  <si>
    <t>Charity organization is signed in</t>
  </si>
  <si>
    <t>Admin approves pending campaign</t>
  </si>
  <si>
    <t>Campaign status changes from pending_approval to active and becomes visible for volunteer registration.</t>
  </si>
  <si>
    <t>Campaign is pending admin approval</t>
  </si>
  <si>
    <t>Admin rejects campaign and charity revises</t>
  </si>
  <si>
    <t>Campaign returns to charity for revision, then can be resubmitted for admin approval.</t>
  </si>
  <si>
    <t>Campaign information is incomplete</t>
  </si>
  <si>
    <t>Volunteer applies to campaign shift</t>
  </si>
  <si>
    <t>Volunteer application is created as pending for the selected shift.</t>
  </si>
  <si>
    <t>Campaign has open shift slots</t>
  </si>
  <si>
    <t>Reject duplicate or conflicting shift application</t>
  </si>
  <si>
    <t>System blocks duplicate/conflicting application and keeps existing assignment unchanged.</t>
  </si>
  <si>
    <t>Volunteer already has a pending or assigned campaign shift</t>
  </si>
  <si>
    <t>Charity reviews volunteer assignment</t>
  </si>
  <si>
    <t>Assignment status is updated and shift filled count changes when approved.</t>
  </si>
  <si>
    <t>Campaign has pending volunteer applications</t>
  </si>
  <si>
    <t>Start campaign within allowed start window</t>
  </si>
  <si>
    <t>Campaign status changes to in_progress and kitchen task workflow becomes available.</t>
  </si>
  <si>
    <t>Campaign is scheduled and current time is inside start window</t>
  </si>
  <si>
    <t>Record kitchen safety log</t>
  </si>
  <si>
    <t>Safety log is saved and visible in campaign kitchen activity.</t>
  </si>
  <si>
    <t>Chef is assigned or checked in for the campaign</t>
  </si>
  <si>
    <t>Complete dish preparation step</t>
  </si>
  <si>
    <t>Dish step status is updated and next step becomes available according to order.</t>
  </si>
  <si>
    <t>Campaign is in_progress and menu items have generated dish steps</t>
  </si>
  <si>
    <t>Record meal distribution round</t>
  </si>
  <si>
    <t>Distribution record is created and campaign distribution summary updates served/leftover totals.</t>
  </si>
  <si>
    <t>Campaign is in_progress and waiter is assigned</t>
  </si>
  <si>
    <t>Reject distribution where people served exceeds portions</t>
  </si>
  <si>
    <t>System rejects the record and shows distribution validation message.</t>
  </si>
  <si>
    <t>Waiter is assigned to the campaign</t>
  </si>
  <si>
    <t>Scan beneficiary handoff QR</t>
  </si>
  <si>
    <t>Meal handoff is recorded once for the receiver and duplicate scans return existing handoff.</t>
  </si>
  <si>
    <t>Receiver QR is valid and distribution belongs to the campaign</t>
  </si>
  <si>
    <t>Reject expired beneficiary handoff QR</t>
  </si>
  <si>
    <t>System rejects expired QR and no new handoff is created.</t>
  </si>
  <si>
    <t>Beneficiary QR token is expired</t>
  </si>
  <si>
    <t>Provider reviews campaign supply request</t>
  </si>
  <si>
    <t>Provider request status is updated and donation/transport flow is prepared when accepted.</t>
  </si>
  <si>
    <t>Campaign provider request is pending</t>
  </si>
  <si>
    <t>Confirm campaign transport receipt</t>
  </si>
  <si>
    <t>Transport status becomes received and campaign donation record is updated.</t>
  </si>
  <si>
    <t>Campaign transport belongs to the campaign and is delivered</t>
  </si>
  <si>
    <t>Charity cancels open campaign</t>
  </si>
  <si>
    <t>Campaign status changes to cancelled and it is no longer available for new volunteer registration.</t>
  </si>
  <si>
    <t>Campaign is open and owned by the charity</t>
  </si>
  <si>
    <t>Complete campaign with actual servings</t>
  </si>
  <si>
    <t>Campaign status changes to completed and final served/actual serving totals are saved.</t>
  </si>
  <si>
    <t>Campaign is in_progress</t>
  </si>
  <si>
    <t>Reject early campaign completion without reason</t>
  </si>
  <si>
    <t>System rejects early completion and asks for confirmation reason.</t>
  </si>
  <si>
    <t>Campaign has not reached scheduled end time</t>
  </si>
  <si>
    <t>Submit campaign change request</t>
  </si>
  <si>
    <t>Change request is created with pending status and original campaign data remains active until approval.</t>
  </si>
  <si>
    <t>Campaign exists and no other change request is pending</t>
  </si>
  <si>
    <t>Cancel pending campaign change request</t>
  </si>
  <si>
    <t>Change request status changes to cancelled and no campaign field is updated.</t>
  </si>
  <si>
    <t>Campaign has a pending change request submitted by the charity</t>
  </si>
  <si>
    <t>Manage campaign shifts</t>
  </si>
  <si>
    <t>Shift list is updated and schedule reflects add/edit/delete actions.</t>
  </si>
  <si>
    <t>Campaign is owned by charity and selected shift has no registered volunteer when deleting</t>
  </si>
  <si>
    <t>Reject deleting shift with registered volunteer</t>
  </si>
  <si>
    <t>System blocks deletion and keeps the shift unchanged.</t>
  </si>
  <si>
    <t>Shift already has volunteer registration or assignment</t>
  </si>
  <si>
    <t>Manage campaign menu and meal type</t>
  </si>
  <si>
    <t>Menu list and meal type are updated for the campaign.</t>
  </si>
  <si>
    <t>Campaign is owned by charity</t>
  </si>
  <si>
    <t>Set dish step scheduled times</t>
  </si>
  <si>
    <t>Four dish steps receive valid scheduled times and are shown in the kitchen task timeline.</t>
  </si>
  <si>
    <t>Menu item exists in the campaign</t>
  </si>
  <si>
    <t>Reject dish step completion without proof photo</t>
  </si>
  <si>
    <t>System rejects the completion because proof photo is required.</t>
  </si>
  <si>
    <t>Dish step is available and volunteer is assigned to campaign</t>
  </si>
  <si>
    <t>Flag dish step QC failure</t>
  </si>
  <si>
    <t>Step is marked with QC failure reason and charity owner receives an urgent notification.</t>
  </si>
  <si>
    <t>Dish step belongs to an in-progress campaign</t>
  </si>
  <si>
    <t>Receiver submits meal feedback after handoff</t>
  </si>
  <si>
    <t>Feedback is saved once and appears in campaign beneficiary feedback summary without exposing receiver identity.</t>
  </si>
  <si>
    <t>Receiver has a completed campaign handoff</t>
  </si>
  <si>
    <t>Request bulk run with valid quantity</t>
  </si>
  <si>
    <t>Bulk run request is created with requested status.</t>
  </si>
  <si>
    <t>Listing has enough remaining quantity</t>
  </si>
  <si>
    <t>Reject bulk run below minimum quantity</t>
  </si>
  <si>
    <t>System displays minimum quantity validation error.</t>
  </si>
  <si>
    <t>Verified shipper is signed in</t>
  </si>
  <si>
    <t>Provider approves bulk run</t>
  </si>
  <si>
    <t>Stock is decremented atomically and bulk run status becomes approved.</t>
  </si>
  <si>
    <t>Provider owns listing and stock is sufficient</t>
  </si>
  <si>
    <t>Add and serve bulk distribution stop</t>
  </si>
  <si>
    <t>Stop is saved and served quantity is added without exceeding total quantity.</t>
  </si>
  <si>
    <t>Bulk run has been picked up</t>
  </si>
  <si>
    <t>Complete bulk run with leftover stock return</t>
  </si>
  <si>
    <t>Bulk run is completed and leftover portions return to listing stock.</t>
  </si>
  <si>
    <t>Bulk run is active</t>
  </si>
  <si>
    <t>Read notification and update unread count</t>
  </si>
  <si>
    <t>Notification is marked as read and unread count decreases.</t>
  </si>
  <si>
    <t>User has unread notifications</t>
  </si>
  <si>
    <t>Capstone Supervisor</t>
  </si>
  <si>
    <t>Delivery Shipper</t>
  </si>
  <si>
    <t>Delivery assignment, offers, live tracking, status lifecycle, and proof of handoff</t>
  </si>
  <si>
    <t>Testing Round</t>
  </si>
  <si>
    <t>Round 1</t>
  </si>
  <si>
    <t>Round 2</t>
  </si>
  <si>
    <t>Round 3</t>
  </si>
  <si>
    <t>Test Case ID</t>
  </si>
  <si>
    <t>Test Case Description</t>
  </si>
  <si>
    <t>Test Case Procedure</t>
  </si>
  <si>
    <t>Expected Results</t>
  </si>
  <si>
    <t>Pre-conditions</t>
  </si>
  <si>
    <t>Test date</t>
  </si>
  <si>
    <t>Tester</t>
  </si>
  <si>
    <t>Note</t>
  </si>
  <si>
    <t>Delivery reservation</t>
  </si>
  <si>
    <t>TC57</t>
  </si>
  <si>
    <t>1. Open active listing
2. Select delivery option
3. Confirm receiver address
4. Reserve listing</t>
  </si>
  <si>
    <t>QA Team</t>
  </si>
  <si>
    <t>Shipper assignment and offers</t>
  </si>
  <si>
    <t>TC58</t>
  </si>
  <si>
    <t>1. Create delivery reservation
2. Run assignment service
3. Check shipper app</t>
  </si>
  <si>
    <t>TC59</t>
  </si>
  <si>
    <t>1. Open shipper offer popup
2. Click Accept</t>
  </si>
  <si>
    <t>TC60</t>
  </si>
  <si>
    <t>1. Assign delivery to first shipper
2. Second shipper clicks Accept</t>
  </si>
  <si>
    <t>TC61</t>
  </si>
  <si>
    <t>1. Open shipper offer popup
2. Click Reject</t>
  </si>
  <si>
    <t>TC62</t>
  </si>
  <si>
    <t>1. Create delivery offer
2. Wait past offer expiry
3. Run sweep job</t>
  </si>
  <si>
    <t>TC63</t>
  </si>
  <si>
    <t>1. Create delivery with no accepting shippers
2. Wait assignment timeout
3. Run sweep job</t>
  </si>
  <si>
    <t>Delivery lifecycle and proof</t>
  </si>
  <si>
    <t>TC64</t>
  </si>
  <si>
    <t>1. Accept delivery
2. Set heading_to_provider
3. Set qc_completed
4. Set in_transit</t>
  </si>
  <si>
    <t>TC65</t>
  </si>
  <si>
    <t>1. Open assigned delivery
2. Take QC photo at provider
3. Submit photo</t>
  </si>
  <si>
    <t>TC66</t>
  </si>
  <si>
    <t>1. Open delivery tracking screen
2. Send shipper GPS update</t>
  </si>
  <si>
    <t>TC67</t>
  </si>
  <si>
    <t>1. Arrive at receiver
2. Scan receiver QR
3. Confirm handoff</t>
  </si>
  <si>
    <t>TC68</t>
  </si>
  <si>
    <t>1. Open delivery completion
2. Skip QR scan
3. Submit completion</t>
  </si>
  <si>
    <t>Delivery exceptions</t>
  </si>
  <si>
    <t>TC69</t>
  </si>
  <si>
    <t>1. Set delivery with no status update for stall window
2. Run stalled delivery cron</t>
  </si>
  <si>
    <t>TC70</t>
  </si>
  <si>
    <t>1. Open assigned delivery
2. Cancel before food pickup
3. Confirm cancellation</t>
  </si>
  <si>
    <t>Food Listings</t>
  </si>
  <si>
    <t>Create, search, update, publish, and cancel food listings with pickup windows</t>
  </si>
  <si>
    <t>Listing discovery</t>
  </si>
  <si>
    <t>TC36</t>
  </si>
  <si>
    <t>1. Open home screen
2. Allow location
3. Load nearby listings</t>
  </si>
  <si>
    <t>TC37</t>
  </si>
  <si>
    <t>1. Open search
2. Enter food keyword
3. Submit search</t>
  </si>
  <si>
    <t>TC38</t>
  </si>
  <si>
    <t>1. Open listing filters
2. Choose food category
3. Apply filter</t>
  </si>
  <si>
    <t>TC39</t>
  </si>
  <si>
    <t>1. Open a listing card
2. Read detail page</t>
  </si>
  <si>
    <t>TC48</t>
  </si>
  <si>
    <t>1. Mark listing as deleted
2. Open receiver search
3. Search same area</t>
  </si>
  <si>
    <t>TC49</t>
  </si>
  <si>
    <t>1. Open map view
2. Tap listing marker
3. Open detail</t>
  </si>
  <si>
    <t>Listing management</t>
  </si>
  <si>
    <t>TC40</t>
  </si>
  <si>
    <t>1. Sign in as provider
2. Open Create Listing
3. Enter valid food details and pickup location
4. Submit form</t>
  </si>
  <si>
    <t>TC42</t>
  </si>
  <si>
    <t>1. Open listing form
2. Select valid image files
3. Submit listing</t>
  </si>
  <si>
    <t>TC43</t>
  </si>
  <si>
    <t>1. Open provider listing list
2. Select draft listing
3. Click Publish</t>
  </si>
  <si>
    <t>TC44</t>
  </si>
  <si>
    <t>1. Open provider listing detail
2. Edit description or pickup notes
3. Save changes</t>
  </si>
  <si>
    <t>TC45</t>
  </si>
  <si>
    <t>1. Open provider listing detail
2. Click Cancel
3. Confirm action</t>
  </si>
  <si>
    <t>Listing reservation constraints</t>
  </si>
  <si>
    <t>TC41</t>
  </si>
  <si>
    <t>1. Open Create Listing
2. Enter quantity as zero
3. Submit form</t>
  </si>
  <si>
    <t>TC46</t>
  </si>
  <si>
    <t>1. Open a listing with closed pickup window
2. Try to reserve</t>
  </si>
  <si>
    <t>TC47</t>
  </si>
  <si>
    <t>1. Open listing detail
2. Enter quantity above max per reservation
3. Submit reservation</t>
  </si>
  <si>
    <t>Reservations QR</t>
  </si>
  <si>
    <t>Reserve food, enforce limits, generate QR, cancel, and complete pickup</t>
  </si>
  <si>
    <t>Reservation creation</t>
  </si>
  <si>
    <t>TC50</t>
  </si>
  <si>
    <t>1. Open active listing
2. Choose valid quantity
3. Click Reserve</t>
  </si>
  <si>
    <t>Reservation validation</t>
  </si>
  <si>
    <t>TC51</t>
  </si>
  <si>
    <t>1. Open listing before pickup start or after pickup end
2. Submit reservation</t>
  </si>
  <si>
    <t>TC52</t>
  </si>
  <si>
    <t>1. Create reservations until daily limit reached
2. Try another reservation</t>
  </si>
  <si>
    <t>TC53</t>
  </si>
  <si>
    <t>1. Start two reservation requests for remaining one portion
2. Submit both requests</t>
  </si>
  <si>
    <t>QR pickup confirmation</t>
  </si>
  <si>
    <t>TC54</t>
  </si>
  <si>
    <t>1. Open provider scanner
2. Scan receiver QR
3. Confirm pickup</t>
  </si>
  <si>
    <t>TC55</t>
  </si>
  <si>
    <t>1. Open provider scanner
2. Scan expired QR token</t>
  </si>
  <si>
    <t>Reservation cancellation</t>
  </si>
  <si>
    <t>TC56</t>
  </si>
  <si>
    <t>1. Open reservation detail
2. Click Cancel
3. Confirm cancellation</t>
  </si>
  <si>
    <t>Bulk Notifications</t>
  </si>
  <si>
    <t>Bulk-run approval, stop serving, completion, and notification read states</t>
  </si>
  <si>
    <t>Bulk run</t>
  </si>
  <si>
    <t>TC99</t>
  </si>
  <si>
    <t>1. Sign in as verified shipper
2. Open eligible listing
3. Request bulk quantity of at least ten portions</t>
  </si>
  <si>
    <t>TC100</t>
  </si>
  <si>
    <t>1. Open bulk request
2. Enter quantity below minimum
3. Submit request</t>
  </si>
  <si>
    <t>TC101</t>
  </si>
  <si>
    <t>1. Sign in as provider
2. Open bulk request
3. Click Approve</t>
  </si>
  <si>
    <t>TC102</t>
  </si>
  <si>
    <t>1. Open picked-up bulk run
2. Add distribution stop with location
3. Log served portions</t>
  </si>
  <si>
    <t>TC103</t>
  </si>
  <si>
    <t>1. Open active bulk run
2. Enter served quantity less than total
3. Click Complete</t>
  </si>
  <si>
    <t>Notification center</t>
  </si>
  <si>
    <t>TC104</t>
  </si>
  <si>
    <t>1. Open notifications
2. Click unread notification
3. Return to list</t>
  </si>
  <si>
    <t>Register eKYC</t>
  </si>
  <si>
    <t>Create receiver, provider, and volunteer accounts with validation and face enrollment</t>
  </si>
  <si>
    <t>eKYC and face enrollment</t>
  </si>
  <si>
    <t>TC07</t>
  </si>
  <si>
    <t>1. Open receiver registration
2. Enter required profile fields
3. Capture selfie
4. Submit form</t>
  </si>
  <si>
    <t>TC08</t>
  </si>
  <si>
    <t>1. Open receiver registration
2. Enter valid profile fields
3. Skip selfie capture
4. Submit form</t>
  </si>
  <si>
    <t>TC13</t>
  </si>
  <si>
    <t>1. Sign in with social account
2. Open dashboard
3. Try to reserve a listing before face enrollment</t>
  </si>
  <si>
    <t>Account registration</t>
  </si>
  <si>
    <t>TC09</t>
  </si>
  <si>
    <t>1. Open provider registration
2. Enter business name, address, contact, and tax information
3. Submit form</t>
  </si>
  <si>
    <t>TC10</t>
  </si>
  <si>
    <t>1. Open volunteer registration
2. Enter personal information
3. Grant location permission
4. Submit form</t>
  </si>
  <si>
    <t>Registration validation</t>
  </si>
  <si>
    <t>TC11</t>
  </si>
  <si>
    <t>1. Open registration
2. Enter an email already used by another user
3. Submit form</t>
  </si>
  <si>
    <t>TC12</t>
  </si>
  <si>
    <t>1. Open registration
2. Enter valid profile fields
3. Enter weak password
4. Submit form</t>
  </si>
  <si>
    <t>TC14</t>
  </si>
  <si>
    <t>1. Open receiver profile during registration
2. Enable delivery address
3. Submit without address coordinates</t>
  </si>
  <si>
    <t>Profile Trust</t>
  </si>
  <si>
    <t>View/update profile, trust score, availability, and restriction states</t>
  </si>
  <si>
    <t>Profile management</t>
  </si>
  <si>
    <t>TC18</t>
  </si>
  <si>
    <t>1. Sign in
2. Open Profile screen</t>
  </si>
  <si>
    <t>TC19</t>
  </si>
  <si>
    <t>1. Open Profile
2. Edit address
3. Select coordinates
4. Save changes</t>
  </si>
  <si>
    <t>TC20</t>
  </si>
  <si>
    <t>1. Sign in as provider
2. Open business profile
3. Edit contact fields
4. Save changes</t>
  </si>
  <si>
    <t>Volunteer availability</t>
  </si>
  <si>
    <t>TC21</t>
  </si>
  <si>
    <t>1. Sign in as verified volunteer
2. Open availability control
3. Switch status to available</t>
  </si>
  <si>
    <t>Trust score and account status</t>
  </si>
  <si>
    <t>TC22</t>
  </si>
  <si>
    <t>1. Set user trust score to restricted range
2. Create second reservation in same day
3. Submit reservation</t>
  </si>
  <si>
    <t>TC23</t>
  </si>
  <si>
    <t>1. Set user trust score to banned range
2. Try to refresh token
3. Open protected screen</t>
  </si>
  <si>
    <t>TC24</t>
  </si>
  <si>
    <t>1. Open Profile
2. Open trust score details</t>
  </si>
  <si>
    <t>TC25</t>
  </si>
  <si>
    <t>1. Create confirmed pickup reservation
2. Let QR expire without pickup
3. Run reservation expiry job
4. Open receiver trust history</t>
  </si>
  <si>
    <t>TC26</t>
  </si>
  <si>
    <t>1. Create confirmed reservation near pickup end time
2. Click Cancel within 30 minutes of pickup end
3. Confirm penalty warning</t>
  </si>
  <si>
    <t>TC27</t>
  </si>
  <si>
    <t>1. Admin records food safety violation for a user/provider
2. Open affected user profile
3. Check trust history and account status</t>
  </si>
  <si>
    <t>Logout</t>
  </si>
  <si>
    <t>Terminate session and clear local authentication state</t>
  </si>
  <si>
    <t>Session termination</t>
  </si>
  <si>
    <t>TC15</t>
  </si>
  <si>
    <t>1. Sign in to the app
2. Open account menu
3. Click Logout</t>
  </si>
  <si>
    <t>Password</t>
  </si>
  <si>
    <t>Forgot password and reset password validation</t>
  </si>
  <si>
    <t>Password recovery</t>
  </si>
  <si>
    <t>TC16</t>
  </si>
  <si>
    <t>1. Open Forgot Password
2. Enter registered email
3. Submit request</t>
  </si>
  <si>
    <t>TC17</t>
  </si>
  <si>
    <t>1. Open reset password screen
2. Enter valid OTP and new password
3. Submit form</t>
  </si>
  <si>
    <t>Login</t>
  </si>
  <si>
    <t>Sign in, token refresh, authorization guard, and role-based access</t>
  </si>
  <si>
    <t>Authentication</t>
  </si>
  <si>
    <t>TC01</t>
  </si>
  <si>
    <t>1. Open sign-in screen
2. Enter registered receiver email and password
3. Click Sign in</t>
  </si>
  <si>
    <t>TC02</t>
  </si>
  <si>
    <t>1. Open sign-in screen
2. Enter registered email and wrong password
3. Click Sign in</t>
  </si>
  <si>
    <t>TC03</t>
  </si>
  <si>
    <t>1. Open sign-in screen
2. Enter banned account credentials
3. Click Sign in</t>
  </si>
  <si>
    <t>Token refresh</t>
  </si>
  <si>
    <t>TC04</t>
  </si>
  <si>
    <t>1. Sign in successfully
2. Wait until access token is near expiry
3. Call an authenticated API</t>
  </si>
  <si>
    <t>TC05</t>
  </si>
  <si>
    <t>1. Sign in successfully
2. Invalidate refresh token
3. Call an authenticated API after access token expiry</t>
  </si>
  <si>
    <t>Role-based access</t>
  </si>
  <si>
    <t>TC06</t>
  </si>
  <si>
    <t>1. Sign in as receiver
2. Open provider-only listing management API</t>
  </si>
  <si>
    <t>Admin Controls</t>
  </si>
  <si>
    <t>Admin KYC review, campaign approval, user governance, violation handling, and operational monitoring</t>
  </si>
  <si>
    <t>KYC review</t>
  </si>
  <si>
    <t>TC28</t>
  </si>
  <si>
    <t>1. Sign in as admin
2. Open /admin/providers
3. Open pending provider detail
4. Review selfie, ID document, and business information</t>
  </si>
  <si>
    <t>TC29</t>
  </si>
  <si>
    <t>1. Open pending provider detail
2. Click Approve
3. Confirm approval</t>
  </si>
  <si>
    <t>TC30</t>
  </si>
  <si>
    <t>1. Open pending provider detail
2. Click Reject
3. Enter rejection reason
4. Confirm rejection</t>
  </si>
  <si>
    <t>User governance</t>
  </si>
  <si>
    <t>TC31</t>
  </si>
  <si>
    <t>1. Sign in as admin
2. Open /admin/users
3. Filter by role or trust score
4. Open a user detail</t>
  </si>
  <si>
    <t>TC32</t>
  </si>
  <si>
    <t>1. Open user detail
2. Click Ban user
3. Confirm ban action
4. Try refreshing token from banned account</t>
  </si>
  <si>
    <t>Operational monitoring</t>
  </si>
  <si>
    <t>TC33</t>
  </si>
  <si>
    <t>1. Create a delivery reservation
2. Sign in as admin
3. Open /admin/deliveries
4. Find the new delivery</t>
  </si>
  <si>
    <t>TC34</t>
  </si>
  <si>
    <t>1. Create and approve a bulk run
2. Sign in as admin
3. Open /admin/bulk-runs
4. Review served portions and distribution stops</t>
  </si>
  <si>
    <t>Violation handling</t>
  </si>
  <si>
    <t>TC35</t>
  </si>
  <si>
    <t>1. Submit a report against user/listing/delivery/campaign
2. Sign in as admin
3. Open report management
4. Review evidence and resolve action</t>
  </si>
  <si>
    <t>Campaign Kitchen Ops</t>
  </si>
  <si>
    <t>Campaign creation, volunteer staffing, kitchen preparation, meal distribution, handoff QR, and campaign transport</t>
  </si>
  <si>
    <t>Campaign lifecycle</t>
  </si>
  <si>
    <t>TC71</t>
  </si>
  <si>
    <t>1. Sign in as charity organization
2. Open campaign creation form
3. Enter title, kitchen address, schedule, target servings, menu, and shifts
4. Submit campaign</t>
  </si>
  <si>
    <t>TC72</t>
  </si>
  <si>
    <t>1. Open campaign creation form
2. Enter end time before start time or date outside allowed range
3. Submit campaign</t>
  </si>
  <si>
    <t>TC73</t>
  </si>
  <si>
    <t>1. Charity submits a new campaign
2. Sign in as admin
3. Open /admin/campaigns
4. Review campaign detail and click Approve</t>
  </si>
  <si>
    <t>TC74</t>
  </si>
  <si>
    <t>1. Charity submits an incomplete campaign
2. Admin rejects with reason
3. Charity opens campaign form
4. Update missing information and resubmit</t>
  </si>
  <si>
    <t>TC78</t>
  </si>
  <si>
    <t>1. Open campaign manage page
2. Click Start Campaign near scheduled start time
3. Confirm action</t>
  </si>
  <si>
    <t>TC87</t>
  </si>
  <si>
    <t>1. Sign in as charity organization
2. Open owned open campaign
3. Click Cancel Campaign
4. Confirm cancellation</t>
  </si>
  <si>
    <t>TC88</t>
  </si>
  <si>
    <t>1. Sign in as charity organization
2. Open in-progress campaign manage page
3. Click Complete Campaign
4. Enter actual servings and completion note
5. Confirm completion</t>
  </si>
  <si>
    <t>TC89</t>
  </si>
  <si>
    <t>1. Open in-progress campaign before scheduled end
2. Click Complete Campaign
3. Leave early-end reason empty
4. Submit completion</t>
  </si>
  <si>
    <t>TC90</t>
  </si>
  <si>
    <t>1. Sign in as charity organization
2. Open existing campaign
3. Edit schedule, kitchen address, or expected servings
4. Submit change request</t>
  </si>
  <si>
    <t>TC91</t>
  </si>
  <si>
    <t>1. Open campaign change request history
2. Select pending change request
3. Click Cancel Request</t>
  </si>
  <si>
    <t>Volunteer staffing</t>
  </si>
  <si>
    <t>TC75</t>
  </si>
  <si>
    <t>1. Sign in as verified volunteer
2. Open public campaign detail
3. Select an available shift and role
4. Submit application</t>
  </si>
  <si>
    <t>TC76</t>
  </si>
  <si>
    <t>1. Apply to one campaign shift
2. Try to apply again or select an overlapping shift
3. Submit application</t>
  </si>
  <si>
    <t>TC77</t>
  </si>
  <si>
    <t>1. Sign in as charity organization
2. Open campaign manage detail
3. Review pending volunteer
4. Approve or reject the application</t>
  </si>
  <si>
    <t>TC92</t>
  </si>
  <si>
    <t>1. Open campaign schedule management
2. Add a new shift
3. Edit shift time or slot count
4. Delete an unused shift</t>
  </si>
  <si>
    <t>TC93</t>
  </si>
  <si>
    <t>1. Open campaign schedule management
2. Select shift with pending or assigned volunteer
3. Click Delete Shift</t>
  </si>
  <si>
    <t>Kitchen preparation</t>
  </si>
  <si>
    <t>TC79</t>
  </si>
  <si>
    <t>1. Sign in as assigned chef
2. Open kitchen ops panel
3. Enter safety check result and optional proof photo
4. Submit log</t>
  </si>
  <si>
    <t>TC80</t>
  </si>
  <si>
    <t>1. Open assigned kitchen task
2. Select the next dish step
3. Mark step completed with proof when required</t>
  </si>
  <si>
    <t>TC94</t>
  </si>
  <si>
    <t>1. Open campaign menu management
2. Add menu item
3. Assign breakfast/lunch/dinner meal type
4. Remove unused menu item</t>
  </si>
  <si>
    <t>TC95</t>
  </si>
  <si>
    <t>1. Open campaign menu item detail
2. Enter scheduled times for four dish steps
3. Save step times</t>
  </si>
  <si>
    <t>TC96</t>
  </si>
  <si>
    <t>1. Sign in as assigned volunteer
2. Open available dish step
3. Click Complete without attaching proof photo</t>
  </si>
  <si>
    <t>TC97</t>
  </si>
  <si>
    <t>1. Sign in as assigned chef or waiter
2. Open dish step detail
3. Click QC Fail
4. Enter failure reason and submit</t>
  </si>
  <si>
    <t>Distribution and beneficiary handoff</t>
  </si>
  <si>
    <t>TC81</t>
  </si>
  <si>
    <t>1. Sign in as assigned waiter
2. Open distribution form
3. Enter servings, people served, location, and proof photo
4. Submit distribution</t>
  </si>
  <si>
    <t>TC82</t>
  </si>
  <si>
    <t>1. Open distribution form
2. Enter people served greater than portions served
3. Submit distribution</t>
  </si>
  <si>
    <t>TC83</t>
  </si>
  <si>
    <t>1. Receiver generates handoff QR
2. Waiter scans QR during distribution
3. Confirm handoff</t>
  </si>
  <si>
    <t>TC84</t>
  </si>
  <si>
    <t>1. Generate beneficiary QR
2. Wait until QR expires
3. Waiter scans expired QR</t>
  </si>
  <si>
    <t>TC98</t>
  </si>
  <si>
    <t>1. Receiver opens received campaign meal history
2. Select a completed handoff
3. Submit rating and feedback</t>
  </si>
  <si>
    <t>Provider supply and transport</t>
  </si>
  <si>
    <t>TC85</t>
  </si>
  <si>
    <t>1. Sign in as provider
2. Open provider campaign requests
3. Accept or reject charity request
4. Confirm selected pickup/transport option</t>
  </si>
  <si>
    <t>TC86</t>
  </si>
  <si>
    <t>1. Campaign transport delivery is marked delivered
2. Charity opens campaign transport detail
3. Confirm receipt with proof</t>
  </si>
  <si>
    <t>Test coverage</t>
  </si>
  <si>
    <t>%</t>
  </si>
  <si>
    <t>Test successful coverage</t>
  </si>
  <si>
    <t>Sub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</si>
</sst>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dd/mm/yyyy"/>
    <numFmt numFmtId="166" formatCode="yyyy\-mm\-dd"/>
  </numFmts>
  <fonts count="32" x14ac:knownFonts="1">
    <font>
      <sz val="11"/>
      <color rgb="FF000000"/>
      <name val="MS PGothic"/>
    </font>
    <font>
      <sz val="10"/>
      <color theme="1"/>
      <name val="Tahoma"/>
      <family val="2"/>
    </font>
    <font>
      <b/>
      <sz val="26"/>
      <color rgb="FFFF0000"/>
      <name val="Tahoma"/>
      <family val="2"/>
    </font>
    <font>
      <b/>
      <sz val="20"/>
      <color rgb="FF000000"/>
      <name val="Tahoma"/>
      <family val="2"/>
    </font>
    <font>
      <sz val="11"/>
      <name val="MS PGothic"/>
      <family val="2"/>
    </font>
    <font>
      <b/>
      <sz val="10"/>
      <color rgb="FF993300"/>
      <name val="Tahoma"/>
      <family val="2"/>
    </font>
    <font>
      <i/>
      <sz val="10"/>
      <color rgb="FF008000"/>
      <name val="Tahoma"/>
      <family val="2"/>
    </font>
    <font>
      <b/>
      <sz val="10"/>
      <color theme="1"/>
      <name val="Tahoma"/>
      <family val="2"/>
    </font>
    <font>
      <i/>
      <sz val="10"/>
      <color theme="1"/>
      <name val="Tahoma"/>
      <family val="2"/>
    </font>
    <font>
      <b/>
      <sz val="10"/>
      <color rgb="FFFFFFFF"/>
      <name val="Tahoma"/>
      <family val="2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1"/>
      <color rgb="FFFF0000"/>
      <name val="Times New Roman"/>
      <family val="1"/>
    </font>
    <font>
      <b/>
      <sz val="11"/>
      <color rgb="FF993300"/>
      <name val="Times New Roman"/>
      <family val="1"/>
    </font>
    <font>
      <i/>
      <sz val="11"/>
      <color rgb="FF008000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FFFF"/>
      <name val="Calibri"/>
      <family val="2"/>
    </font>
    <font>
      <sz val="11"/>
      <color theme="1"/>
      <name val="Tahoma"/>
      <family val="2"/>
    </font>
    <font>
      <sz val="10"/>
      <color rgb="FFFFFFFF"/>
      <name val="Tahoma"/>
      <family val="2"/>
    </font>
    <font>
      <b/>
      <sz val="10"/>
      <color rgb="FF0000FF"/>
      <name val="Tahoma"/>
      <family val="2"/>
    </font>
    <font>
      <sz val="10"/>
      <color rgb="FF000000"/>
      <name val="Tahoma"/>
      <family val="2"/>
    </font>
    <font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rgb="FFFF0000"/>
      <name val="Tahoma"/>
      <family val="2"/>
    </font>
    <font>
      <sz val="10"/>
      <color theme="1"/>
      <name val="MS PGothic"/>
      <family val="2"/>
    </font>
    <font>
      <sz val="11"/>
      <color rgb="FF000000"/>
      <name val="Calibri"/>
      <family val="2"/>
    </font>
    <font>
      <sz val="11"/>
      <color rgb="FF000000"/>
      <name val="MS PGothic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b/>
      <i/>
      <sz val="10"/>
      <color rgb="FF000000"/>
      <name val="Tahoma"/>
      <family val="2"/>
    </font>
    <font>
      <sz val="10"/>
      <color rgb="FF000000"/>
      <name val="Tahoma"/>
      <family val="2"/>
    </font>
    <font>
      <sz val="11"/>
      <color rgb="FF0000F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0080"/>
      </patternFill>
    </fill>
    <fill>
      <patternFill patternType="solid">
        <fgColor rgb="FF333399"/>
      </patternFill>
    </fill>
    <fill>
      <patternFill patternType="solid">
        <fgColor rgb="FFFFFFFF"/>
      </patternFill>
    </fill>
    <fill>
      <patternFill patternType="solid">
        <fgColor rgb="FF76933C"/>
      </patternFill>
    </fill>
    <fill>
      <patternFill patternType="solid">
        <fgColor rgb="FFCCFFFF"/>
      </patternFill>
    </fill>
    <fill>
      <patternFill patternType="solid">
        <fgColor rgb="FFFFFFFF"/>
        <bgColor indexed="64"/>
      </patternFill>
    </fill>
  </fills>
  <borders count="3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indexed="64"/>
      </right>
      <top style="hair">
        <color rgb="FF000000"/>
      </top>
      <bottom/>
      <diagonal/>
    </border>
  </borders>
  <cellStyleXfs count="1">
    <xf numFmtId="0" fontId="0" fillId="0" borderId="0"/>
  </cellStyleXfs>
  <cellXfs count="172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2" borderId="4" xfId="0" applyFont="1" applyFill="1" applyBorder="1"/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10" fillId="2" borderId="4" xfId="0" applyFont="1" applyFill="1" applyBorder="1"/>
    <xf numFmtId="1" fontId="10" fillId="2" borderId="4" xfId="0" applyNumberFormat="1" applyFont="1" applyFill="1" applyBorder="1"/>
    <xf numFmtId="0" fontId="10" fillId="2" borderId="4" xfId="0" applyFont="1" applyFill="1" applyBorder="1" applyAlignment="1">
      <alignment horizontal="left"/>
    </xf>
    <xf numFmtId="0" fontId="10" fillId="2" borderId="4" xfId="0" applyFont="1" applyFill="1" applyBorder="1" applyAlignment="1">
      <alignment vertical="center"/>
    </xf>
    <xf numFmtId="0" fontId="15" fillId="2" borderId="4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 wrapText="1"/>
    </xf>
    <xf numFmtId="0" fontId="9" fillId="3" borderId="22" xfId="0" applyFont="1" applyFill="1" applyBorder="1" applyAlignment="1">
      <alignment horizontal="center" wrapText="1"/>
    </xf>
    <xf numFmtId="0" fontId="20" fillId="2" borderId="4" xfId="0" applyFont="1" applyFill="1" applyBorder="1" applyAlignment="1">
      <alignment horizontal="center" wrapText="1"/>
    </xf>
    <xf numFmtId="0" fontId="21" fillId="2" borderId="4" xfId="0" applyFont="1" applyFill="1" applyBorder="1"/>
    <xf numFmtId="0" fontId="6" fillId="2" borderId="4" xfId="0" applyFont="1" applyFill="1" applyBorder="1" applyAlignment="1">
      <alignment wrapText="1"/>
    </xf>
    <xf numFmtId="0" fontId="6" fillId="2" borderId="4" xfId="0" applyFont="1" applyFill="1" applyBorder="1" applyAlignment="1">
      <alignment horizontal="left" wrapText="1"/>
    </xf>
    <xf numFmtId="0" fontId="1" fillId="2" borderId="4" xfId="0" applyFont="1" applyFill="1" applyBorder="1" applyAlignment="1">
      <alignment wrapText="1"/>
    </xf>
    <xf numFmtId="0" fontId="21" fillId="2" borderId="4" xfId="0" applyFont="1" applyFill="1" applyBorder="1" applyAlignment="1">
      <alignment wrapText="1"/>
    </xf>
    <xf numFmtId="0" fontId="20" fillId="2" borderId="4" xfId="0" applyFont="1" applyFill="1" applyBorder="1"/>
    <xf numFmtId="0" fontId="22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21" fillId="2" borderId="4" xfId="0" applyFont="1" applyFill="1" applyBorder="1" applyAlignment="1">
      <alignment horizontal="center" wrapText="1"/>
    </xf>
    <xf numFmtId="0" fontId="20" fillId="2" borderId="4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left" vertical="center"/>
    </xf>
    <xf numFmtId="0" fontId="20" fillId="2" borderId="4" xfId="0" applyFont="1" applyFill="1" applyBorder="1" applyAlignment="1">
      <alignment vertical="top"/>
    </xf>
    <xf numFmtId="0" fontId="20" fillId="2" borderId="4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21" fillId="2" borderId="4" xfId="0" applyFont="1" applyFill="1" applyBorder="1" applyAlignment="1">
      <alignment vertical="top" wrapText="1"/>
    </xf>
    <xf numFmtId="0" fontId="1" fillId="2" borderId="5" xfId="0" applyFont="1" applyFill="1" applyBorder="1"/>
    <xf numFmtId="0" fontId="1" fillId="2" borderId="18" xfId="0" applyFont="1" applyFill="1" applyBorder="1"/>
    <xf numFmtId="165" fontId="1" fillId="2" borderId="5" xfId="0" applyNumberFormat="1" applyFont="1" applyFill="1" applyBorder="1" applyAlignment="1">
      <alignment horizontal="right" vertical="top" wrapText="1"/>
    </xf>
    <xf numFmtId="164" fontId="1" fillId="2" borderId="5" xfId="0" applyNumberFormat="1" applyFont="1" applyFill="1" applyBorder="1" applyAlignment="1">
      <alignment horizontal="right" vertical="top" wrapText="1"/>
    </xf>
    <xf numFmtId="0" fontId="24" fillId="2" borderId="4" xfId="0" applyFont="1" applyFill="1" applyBorder="1"/>
    <xf numFmtId="0" fontId="24" fillId="2" borderId="4" xfId="0" applyFont="1" applyFill="1" applyBorder="1" applyAlignment="1">
      <alignment vertical="top"/>
    </xf>
    <xf numFmtId="0" fontId="1" fillId="2" borderId="28" xfId="0" applyFont="1" applyFill="1" applyBorder="1"/>
    <xf numFmtId="0" fontId="1" fillId="2" borderId="29" xfId="0" applyFont="1" applyFill="1" applyBorder="1"/>
    <xf numFmtId="0" fontId="21" fillId="2" borderId="29" xfId="0" applyFont="1" applyFill="1" applyBorder="1"/>
    <xf numFmtId="0" fontId="21" fillId="2" borderId="5" xfId="0" applyFont="1" applyFill="1" applyBorder="1"/>
    <xf numFmtId="0" fontId="21" fillId="2" borderId="28" xfId="0" applyFont="1" applyFill="1" applyBorder="1"/>
    <xf numFmtId="1" fontId="25" fillId="5" borderId="5" xfId="0" applyNumberFormat="1" applyFont="1" applyFill="1" applyBorder="1" applyAlignment="1">
      <alignment vertical="center" wrapText="1"/>
    </xf>
    <xf numFmtId="49" fontId="25" fillId="5" borderId="5" xfId="0" applyNumberFormat="1" applyFont="1" applyFill="1" applyBorder="1" applyAlignment="1">
      <alignment horizontal="left" vertical="center" wrapText="1"/>
    </xf>
    <xf numFmtId="0" fontId="25" fillId="5" borderId="5" xfId="0" applyFont="1" applyFill="1" applyBorder="1" applyAlignment="1">
      <alignment horizontal="left" vertical="center" wrapText="1"/>
    </xf>
    <xf numFmtId="0" fontId="27" fillId="5" borderId="5" xfId="0" applyFont="1" applyFill="1" applyBorder="1" applyAlignment="1">
      <alignment wrapText="1"/>
    </xf>
    <xf numFmtId="1" fontId="28" fillId="5" borderId="5" xfId="0" applyNumberFormat="1" applyFont="1" applyFill="1" applyBorder="1" applyAlignment="1">
      <alignment vertical="center" wrapText="1"/>
    </xf>
    <xf numFmtId="49" fontId="28" fillId="5" borderId="5" xfId="0" applyNumberFormat="1" applyFont="1" applyFill="1" applyBorder="1" applyAlignment="1">
      <alignment horizontal="left" vertical="center" wrapText="1"/>
    </xf>
    <xf numFmtId="0" fontId="28" fillId="5" borderId="5" xfId="0" applyFont="1" applyFill="1" applyBorder="1" applyAlignment="1">
      <alignment horizontal="left" vertical="center" wrapText="1"/>
    </xf>
    <xf numFmtId="1" fontId="28" fillId="5" borderId="5" xfId="0" applyNumberFormat="1" applyFont="1" applyFill="1" applyBorder="1" applyAlignment="1">
      <alignment wrapText="1"/>
    </xf>
    <xf numFmtId="0" fontId="28" fillId="5" borderId="5" xfId="0" applyFont="1" applyFill="1" applyBorder="1" applyAlignment="1">
      <alignment horizontal="left" wrapText="1"/>
    </xf>
    <xf numFmtId="0" fontId="29" fillId="2" borderId="5" xfId="0" applyFont="1" applyFill="1" applyBorder="1" applyAlignment="1">
      <alignment horizontal="center" vertical="top" wrapText="1"/>
    </xf>
    <xf numFmtId="0" fontId="22" fillId="2" borderId="5" xfId="0" applyFont="1" applyFill="1" applyBorder="1" applyAlignment="1">
      <alignment horizontal="center" vertical="top" wrapText="1"/>
    </xf>
    <xf numFmtId="0" fontId="22" fillId="2" borderId="5" xfId="0" applyFont="1" applyFill="1" applyBorder="1" applyAlignment="1">
      <alignment horizontal="center" wrapText="1"/>
    </xf>
    <xf numFmtId="0" fontId="9" fillId="6" borderId="5" xfId="0" applyFont="1" applyFill="1" applyBorder="1" applyAlignment="1">
      <alignment horizontal="center" vertical="center" wrapText="1"/>
    </xf>
    <xf numFmtId="0" fontId="22" fillId="7" borderId="5" xfId="0" applyFont="1" applyFill="1" applyBorder="1" applyAlignment="1">
      <alignment horizontal="left" vertical="center" wrapText="1"/>
    </xf>
    <xf numFmtId="0" fontId="30" fillId="5" borderId="5" xfId="0" applyFont="1" applyFill="1" applyBorder="1" applyAlignment="1">
      <alignment vertical="top" wrapText="1"/>
    </xf>
    <xf numFmtId="0" fontId="30" fillId="5" borderId="5" xfId="0" applyFont="1" applyFill="1" applyBorder="1" applyAlignment="1">
      <alignment horizontal="left" vertical="top" wrapText="1"/>
    </xf>
    <xf numFmtId="0" fontId="30" fillId="5" borderId="5" xfId="0" applyFont="1" applyFill="1" applyBorder="1" applyAlignment="1">
      <alignment horizontal="left" vertical="center" wrapText="1"/>
    </xf>
    <xf numFmtId="0" fontId="30" fillId="5" borderId="5" xfId="0" applyFont="1" applyFill="1" applyBorder="1" applyAlignment="1">
      <alignment wrapText="1"/>
    </xf>
    <xf numFmtId="0" fontId="22" fillId="7" borderId="5" xfId="0" applyFont="1" applyFill="1" applyBorder="1" applyAlignment="1">
      <alignment vertical="top" wrapText="1"/>
    </xf>
    <xf numFmtId="0" fontId="22" fillId="7" borderId="5" xfId="0" applyFont="1" applyFill="1" applyBorder="1" applyAlignment="1">
      <alignment horizontal="left" vertical="top" wrapText="1"/>
    </xf>
    <xf numFmtId="0" fontId="22" fillId="7" borderId="5" xfId="0" applyFont="1" applyFill="1" applyBorder="1" applyAlignment="1">
      <alignment wrapText="1"/>
    </xf>
    <xf numFmtId="166" fontId="30" fillId="5" borderId="5" xfId="0" applyNumberFormat="1" applyFont="1" applyFill="1" applyBorder="1" applyAlignment="1">
      <alignment vertical="top" wrapText="1"/>
    </xf>
    <xf numFmtId="166" fontId="30" fillId="5" borderId="5" xfId="0" applyNumberFormat="1" applyFont="1" applyFill="1" applyBorder="1" applyAlignment="1">
      <alignment horizontal="left" vertical="center" wrapText="1"/>
    </xf>
    <xf numFmtId="166" fontId="22" fillId="7" borderId="5" xfId="0" applyNumberFormat="1" applyFont="1" applyFill="1" applyBorder="1" applyAlignment="1">
      <alignment vertical="top" wrapText="1"/>
    </xf>
    <xf numFmtId="166" fontId="22" fillId="7" borderId="5" xfId="0" applyNumberFormat="1" applyFont="1" applyFill="1" applyBorder="1" applyAlignment="1">
      <alignment wrapText="1"/>
    </xf>
    <xf numFmtId="166" fontId="30" fillId="5" borderId="5" xfId="0" applyNumberFormat="1" applyFont="1" applyFill="1" applyBorder="1" applyAlignment="1">
      <alignment wrapText="1"/>
    </xf>
    <xf numFmtId="0" fontId="22" fillId="0" borderId="5" xfId="0" applyFont="1" applyBorder="1" applyAlignment="1">
      <alignment horizontal="center" wrapText="1"/>
    </xf>
    <xf numFmtId="0" fontId="29" fillId="0" borderId="5" xfId="0" applyFont="1" applyBorder="1" applyAlignment="1">
      <alignment wrapText="1"/>
    </xf>
    <xf numFmtId="0" fontId="29" fillId="0" borderId="5" xfId="0" applyFont="1" applyBorder="1" applyAlignment="1">
      <alignment horizontal="center" wrapText="1"/>
    </xf>
    <xf numFmtId="0" fontId="9" fillId="6" borderId="5" xfId="0" applyFont="1" applyFill="1" applyBorder="1" applyAlignment="1">
      <alignment wrapText="1"/>
    </xf>
    <xf numFmtId="166" fontId="30" fillId="5" borderId="5" xfId="0" applyNumberFormat="1" applyFont="1" applyFill="1" applyBorder="1" applyAlignment="1">
      <alignment horizontal="right" vertical="top" wrapText="1"/>
    </xf>
    <xf numFmtId="166" fontId="22" fillId="7" borderId="5" xfId="0" applyNumberFormat="1" applyFont="1" applyFill="1" applyBorder="1" applyAlignment="1">
      <alignment horizontal="right" vertical="top" wrapText="1"/>
    </xf>
    <xf numFmtId="166" fontId="22" fillId="7" borderId="5" xfId="0" applyNumberFormat="1" applyFont="1" applyFill="1" applyBorder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2" borderId="4" xfId="0" applyFont="1" applyFill="1" applyBorder="1" applyAlignment="1">
      <alignment horizontal="left" wrapText="1"/>
    </xf>
    <xf numFmtId="0" fontId="6" fillId="0" borderId="0" xfId="0" applyFont="1" applyAlignment="1">
      <alignment horizontal="left" wrapText="1"/>
    </xf>
    <xf numFmtId="0" fontId="7" fillId="2" borderId="5" xfId="0" applyFont="1" applyFill="1" applyBorder="1" applyAlignment="1">
      <alignment horizontal="left" wrapText="1"/>
    </xf>
    <xf numFmtId="0" fontId="1" fillId="0" borderId="3" xfId="0" applyFont="1" applyBorder="1" applyAlignment="1">
      <alignment wrapText="1"/>
    </xf>
    <xf numFmtId="164" fontId="8" fillId="0" borderId="3" xfId="0" applyNumberFormat="1" applyFont="1" applyBorder="1" applyAlignment="1">
      <alignment horizontal="left" wrapText="1"/>
    </xf>
    <xf numFmtId="0" fontId="7" fillId="2" borderId="5" xfId="0" applyFont="1" applyFill="1" applyBorder="1" applyAlignment="1">
      <alignment vertical="center" wrapText="1"/>
    </xf>
    <xf numFmtId="0" fontId="8" fillId="0" borderId="3" xfId="0" applyFont="1" applyBorder="1" applyAlignment="1">
      <alignment horizontal="left" wrapText="1"/>
    </xf>
    <xf numFmtId="0" fontId="7" fillId="0" borderId="0" xfId="0" applyFont="1" applyAlignment="1">
      <alignment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15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15" fontId="1" fillId="0" borderId="9" xfId="0" applyNumberFormat="1" applyFont="1" applyBorder="1" applyAlignment="1">
      <alignment vertical="top" wrapText="1"/>
    </xf>
    <xf numFmtId="49" fontId="1" fillId="0" borderId="10" xfId="0" applyNumberFormat="1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0" fillId="2" borderId="4" xfId="0" applyFont="1" applyFill="1" applyBorder="1" applyAlignment="1">
      <alignment wrapText="1"/>
    </xf>
    <xf numFmtId="1" fontId="10" fillId="2" borderId="4" xfId="0" applyNumberFormat="1" applyFont="1" applyFill="1" applyBorder="1" applyAlignment="1">
      <alignment wrapText="1"/>
    </xf>
    <xf numFmtId="0" fontId="10" fillId="2" borderId="4" xfId="0" applyFont="1" applyFill="1" applyBorder="1" applyAlignment="1">
      <alignment horizontal="left" wrapText="1"/>
    </xf>
    <xf numFmtId="0" fontId="11" fillId="2" borderId="4" xfId="0" applyFont="1" applyFill="1" applyBorder="1" applyAlignment="1">
      <alignment horizontal="left" wrapText="1"/>
    </xf>
    <xf numFmtId="0" fontId="12" fillId="2" borderId="4" xfId="0" applyFont="1" applyFill="1" applyBorder="1" applyAlignment="1">
      <alignment horizontal="left" wrapText="1"/>
    </xf>
    <xf numFmtId="0" fontId="10" fillId="2" borderId="4" xfId="0" applyFont="1" applyFill="1" applyBorder="1" applyAlignment="1">
      <alignment vertical="center" wrapText="1"/>
    </xf>
    <xf numFmtId="1" fontId="10" fillId="2" borderId="4" xfId="0" applyNumberFormat="1" applyFont="1" applyFill="1" applyBorder="1" applyAlignment="1">
      <alignment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15" fillId="2" borderId="4" xfId="0" applyFont="1" applyFill="1" applyBorder="1" applyAlignment="1">
      <alignment horizontal="center" wrapText="1"/>
    </xf>
    <xf numFmtId="1" fontId="16" fillId="4" borderId="6" xfId="0" applyNumberFormat="1" applyFont="1" applyFill="1" applyBorder="1" applyAlignment="1">
      <alignment horizontal="center" vertical="center" wrapText="1"/>
    </xf>
    <xf numFmtId="0" fontId="16" fillId="4" borderId="7" xfId="0" applyFont="1" applyFill="1" applyBorder="1" applyAlignment="1">
      <alignment horizontal="center" vertical="center" wrapText="1"/>
    </xf>
    <xf numFmtId="0" fontId="16" fillId="4" borderId="13" xfId="0" applyFont="1" applyFill="1" applyBorder="1" applyAlignment="1">
      <alignment horizontal="center" vertical="center" wrapText="1"/>
    </xf>
    <xf numFmtId="0" fontId="16" fillId="4" borderId="8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wrapText="1"/>
    </xf>
    <xf numFmtId="15" fontId="1" fillId="2" borderId="4" xfId="0" applyNumberFormat="1" applyFont="1" applyFill="1" applyBorder="1" applyAlignment="1">
      <alignment wrapText="1"/>
    </xf>
    <xf numFmtId="0" fontId="5" fillId="2" borderId="5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wrapText="1"/>
    </xf>
    <xf numFmtId="0" fontId="1" fillId="2" borderId="20" xfId="0" applyFont="1" applyFill="1" applyBorder="1" applyAlignment="1">
      <alignment wrapText="1"/>
    </xf>
    <xf numFmtId="0" fontId="9" fillId="3" borderId="21" xfId="0" applyFont="1" applyFill="1" applyBorder="1" applyAlignment="1">
      <alignment horizontal="center" wrapText="1"/>
    </xf>
    <xf numFmtId="0" fontId="9" fillId="3" borderId="13" xfId="0" applyFont="1" applyFill="1" applyBorder="1" applyAlignment="1">
      <alignment horizontal="center" wrapText="1"/>
    </xf>
    <xf numFmtId="0" fontId="1" fillId="2" borderId="23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wrapText="1"/>
    </xf>
    <xf numFmtId="0" fontId="1" fillId="2" borderId="10" xfId="0" applyFont="1" applyFill="1" applyBorder="1" applyAlignment="1">
      <alignment horizontal="center" wrapText="1"/>
    </xf>
    <xf numFmtId="0" fontId="17" fillId="2" borderId="10" xfId="0" applyFont="1" applyFill="1" applyBorder="1" applyAlignment="1">
      <alignment horizontal="center" wrapText="1"/>
    </xf>
    <xf numFmtId="0" fontId="1" fillId="2" borderId="24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wrapText="1"/>
    </xf>
    <xf numFmtId="0" fontId="1" fillId="2" borderId="25" xfId="0" applyFont="1" applyFill="1" applyBorder="1" applyAlignment="1">
      <alignment horizontal="center" wrapText="1"/>
    </xf>
    <xf numFmtId="0" fontId="18" fillId="3" borderId="26" xfId="0" applyFont="1" applyFill="1" applyBorder="1" applyAlignment="1">
      <alignment horizontal="center" wrapText="1"/>
    </xf>
    <xf numFmtId="0" fontId="18" fillId="3" borderId="15" xfId="0" applyFont="1" applyFill="1" applyBorder="1" applyAlignment="1">
      <alignment horizontal="center" wrapText="1"/>
    </xf>
    <xf numFmtId="0" fontId="18" fillId="3" borderId="27" xfId="0" applyFont="1" applyFill="1" applyBorder="1" applyAlignment="1">
      <alignment horizontal="center" wrapText="1"/>
    </xf>
    <xf numFmtId="9" fontId="1" fillId="2" borderId="4" xfId="0" applyNumberFormat="1" applyFont="1" applyFill="1" applyBorder="1" applyAlignment="1">
      <alignment horizontal="center" wrapText="1"/>
    </xf>
    <xf numFmtId="0" fontId="1" fillId="2" borderId="28" xfId="0" applyFont="1" applyFill="1" applyBorder="1" applyAlignment="1">
      <alignment wrapText="1"/>
    </xf>
    <xf numFmtId="0" fontId="24" fillId="2" borderId="5" xfId="0" applyFont="1" applyFill="1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8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left" vertical="center" wrapText="1"/>
    </xf>
    <xf numFmtId="1" fontId="13" fillId="2" borderId="1" xfId="0" applyNumberFormat="1" applyFont="1" applyFill="1" applyBorder="1" applyAlignment="1">
      <alignment wrapText="1"/>
    </xf>
    <xf numFmtId="0" fontId="4" fillId="0" borderId="12" xfId="0" applyFont="1" applyBorder="1" applyAlignment="1">
      <alignment wrapText="1"/>
    </xf>
    <xf numFmtId="0" fontId="14" fillId="2" borderId="1" xfId="0" applyFont="1" applyFill="1" applyBorder="1" applyAlignment="1">
      <alignment horizontal="left" wrapText="1"/>
    </xf>
    <xf numFmtId="1" fontId="13" fillId="2" borderId="1" xfId="0" applyNumberFormat="1" applyFont="1" applyFill="1" applyBorder="1" applyAlignment="1">
      <alignment vertical="center" wrapText="1"/>
    </xf>
    <xf numFmtId="0" fontId="14" fillId="2" borderId="1" xfId="0" applyFont="1" applyFill="1" applyBorder="1" applyAlignment="1">
      <alignment vertical="top" wrapText="1"/>
    </xf>
    <xf numFmtId="1" fontId="10" fillId="2" borderId="0" xfId="0" applyNumberFormat="1" applyFont="1" applyFill="1" applyAlignment="1">
      <alignment vertical="center" wrapText="1"/>
    </xf>
    <xf numFmtId="0" fontId="0" fillId="0" borderId="0" xfId="0" applyAlignment="1">
      <alignment wrapText="1"/>
    </xf>
    <xf numFmtId="0" fontId="6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left" wrapText="1"/>
    </xf>
    <xf numFmtId="164" fontId="6" fillId="2" borderId="19" xfId="0" applyNumberFormat="1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vertical="top" wrapText="1"/>
    </xf>
    <xf numFmtId="0" fontId="3" fillId="2" borderId="16" xfId="0" applyFont="1" applyFill="1" applyBorder="1" applyAlignment="1">
      <alignment horizontal="center" wrapText="1"/>
    </xf>
    <xf numFmtId="0" fontId="4" fillId="0" borderId="17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7" fillId="2" borderId="19" xfId="0" applyFont="1" applyFill="1" applyBorder="1" applyAlignment="1">
      <alignment horizontal="center" vertical="top" wrapText="1"/>
    </xf>
    <xf numFmtId="0" fontId="20" fillId="2" borderId="5" xfId="0" applyFont="1" applyFill="1" applyBorder="1" applyAlignment="1">
      <alignment wrapText="1"/>
    </xf>
    <xf numFmtId="0" fontId="22" fillId="2" borderId="5" xfId="0" applyFont="1" applyFill="1" applyBorder="1" applyAlignment="1">
      <alignment horizontal="center" vertical="top" wrapText="1"/>
    </xf>
    <xf numFmtId="0" fontId="20" fillId="2" borderId="5" xfId="0" applyFont="1" applyFill="1" applyBorder="1" applyAlignment="1">
      <alignment horizontal="left" vertical="top" wrapText="1"/>
    </xf>
    <xf numFmtId="0" fontId="20" fillId="0" borderId="5" xfId="0" applyFont="1" applyBorder="1" applyAlignment="1">
      <alignment wrapText="1"/>
    </xf>
    <xf numFmtId="0" fontId="22" fillId="0" borderId="5" xfId="0" applyFont="1" applyBorder="1" applyAlignment="1">
      <alignment horizontal="center" wrapText="1"/>
    </xf>
    <xf numFmtId="0" fontId="31" fillId="5" borderId="5" xfId="0" applyFont="1" applyFill="1" applyBorder="1" applyAlignment="1">
      <alignment horizontal="center" vertical="center" wrapText="1"/>
    </xf>
    <xf numFmtId="0" fontId="31" fillId="5" borderId="30" xfId="0" applyFont="1" applyFill="1" applyBorder="1" applyAlignment="1">
      <alignment horizontal="center" vertical="center" wrapText="1"/>
    </xf>
    <xf numFmtId="0" fontId="31" fillId="5" borderId="32" xfId="0" applyFont="1" applyFill="1" applyBorder="1" applyAlignment="1">
      <alignment horizontal="center" vertical="center" wrapText="1"/>
    </xf>
    <xf numFmtId="0" fontId="31" fillId="5" borderId="31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wrapText="1"/>
    </xf>
    <xf numFmtId="0" fontId="18" fillId="3" borderId="14" xfId="0" applyFont="1" applyFill="1" applyBorder="1" applyAlignment="1">
      <alignment horizontal="center" wrapText="1"/>
    </xf>
    <xf numFmtId="0" fontId="26" fillId="8" borderId="29" xfId="0" applyFont="1" applyFill="1" applyBorder="1" applyAlignment="1">
      <alignment wrapText="1"/>
    </xf>
    <xf numFmtId="0" fontId="5" fillId="8" borderId="29" xfId="0" applyFont="1" applyFill="1" applyBorder="1" applyAlignment="1">
      <alignment wrapText="1"/>
    </xf>
    <xf numFmtId="0" fontId="19" fillId="8" borderId="29" xfId="0" applyFont="1" applyFill="1" applyBorder="1" applyAlignment="1">
      <alignment horizontal="right" wrapText="1"/>
    </xf>
    <xf numFmtId="0" fontId="20" fillId="8" borderId="29" xfId="0" applyFont="1" applyFill="1" applyBorder="1" applyAlignment="1">
      <alignment wrapText="1"/>
    </xf>
    <xf numFmtId="0" fontId="5" fillId="8" borderId="29" xfId="0" applyFont="1" applyFill="1" applyBorder="1" applyAlignment="1">
      <alignment vertical="center"/>
    </xf>
    <xf numFmtId="0" fontId="1" fillId="2" borderId="33" xfId="0" applyFont="1" applyFill="1" applyBorder="1" applyAlignment="1">
      <alignment horizontal="center" wrapText="1"/>
    </xf>
    <xf numFmtId="0" fontId="1" fillId="2" borderId="3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43125" cy="781050"/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>
    <xdr:from>
      <xdr:col>0</xdr:col>
      <xdr:colOff>0</xdr:colOff>
      <xdr:row>0</xdr:row>
      <xdr:rowOff>0</xdr:rowOff>
    </xdr:from>
    <xdr:to>
      <xdr:col>4</xdr:col>
      <xdr:colOff>1280160</xdr:colOff>
      <xdr:row>28</xdr:row>
      <xdr:rowOff>30480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5F6139AD-95AE-1A12-82FC-D1CC2B40D77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350520</xdr:colOff>
      <xdr:row>16</xdr:row>
      <xdr:rowOff>114300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BFDE1E45-86E7-73FD-02D2-C659317C8B3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showGridLines="0" workbookViewId="0">
      <selection activeCell="I12" sqref="I12"/>
    </sheetView>
  </sheetViews>
  <sheetFormatPr defaultColWidth="12.6640625" defaultRowHeight="13.2" x14ac:dyDescent="0.2"/>
  <cols>
    <col min="1" max="1" width="28.109375" customWidth="1"/>
    <col min="2" max="2" width="42" customWidth="1"/>
    <col min="3" max="3" width="14.33203125" customWidth="1"/>
    <col min="4" max="4" width="8" customWidth="1"/>
    <col min="5" max="5" width="22" customWidth="1"/>
    <col min="6" max="6" width="24" customWidth="1"/>
    <col min="7" max="26" width="9" customWidth="1"/>
  </cols>
  <sheetData>
    <row r="1" spans="1:26" ht="12.75" customHeight="1" x14ac:dyDescent="0.25">
      <c r="A1" s="75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75.75" customHeight="1" x14ac:dyDescent="0.2">
      <c r="A2" s="77"/>
      <c r="B2" s="134" t="s">
        <v>0</v>
      </c>
      <c r="C2" s="135"/>
      <c r="D2" s="135"/>
      <c r="E2" s="135"/>
      <c r="F2" s="136"/>
      <c r="G2" s="78"/>
      <c r="H2" s="78"/>
      <c r="I2" s="78"/>
      <c r="J2" s="78"/>
      <c r="K2" s="78"/>
      <c r="L2" s="78"/>
      <c r="M2" s="78"/>
      <c r="N2" s="78"/>
      <c r="O2" s="78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 x14ac:dyDescent="0.25">
      <c r="A3" s="79"/>
      <c r="B3" s="80"/>
      <c r="C3" s="76"/>
      <c r="D3" s="76"/>
      <c r="E3" s="18"/>
      <c r="F3" s="76"/>
      <c r="G3" s="76"/>
      <c r="H3" s="76"/>
      <c r="I3" s="76"/>
      <c r="J3" s="76"/>
      <c r="K3" s="76"/>
      <c r="L3" s="76"/>
      <c r="M3" s="76"/>
      <c r="N3" s="76"/>
      <c r="O3" s="76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25">
      <c r="A4" s="81" t="s">
        <v>1</v>
      </c>
      <c r="B4" s="137" t="s">
        <v>32</v>
      </c>
      <c r="C4" s="135"/>
      <c r="D4" s="136"/>
      <c r="E4" s="81" t="s">
        <v>2</v>
      </c>
      <c r="F4" s="82" t="s">
        <v>33</v>
      </c>
      <c r="G4" s="76"/>
      <c r="H4" s="76"/>
      <c r="I4" s="76"/>
      <c r="J4" s="76"/>
      <c r="K4" s="76"/>
      <c r="L4" s="76"/>
      <c r="M4" s="76"/>
      <c r="N4" s="76"/>
      <c r="O4" s="76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25">
      <c r="A5" s="81" t="s">
        <v>3</v>
      </c>
      <c r="B5" s="137" t="s">
        <v>34</v>
      </c>
      <c r="C5" s="135"/>
      <c r="D5" s="136"/>
      <c r="E5" s="81" t="s">
        <v>4</v>
      </c>
      <c r="F5" s="83">
        <v>46249</v>
      </c>
      <c r="G5" s="76"/>
      <c r="H5" s="76"/>
      <c r="I5" s="76"/>
      <c r="J5" s="76"/>
      <c r="K5" s="76"/>
      <c r="L5" s="76"/>
      <c r="M5" s="76"/>
      <c r="N5" s="76"/>
      <c r="O5" s="76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84" t="s">
        <v>5</v>
      </c>
      <c r="B6" s="138" t="str">
        <f>B5&amp;"_v1.0"</f>
        <v>SP26SE088_v1.0</v>
      </c>
      <c r="C6" s="135"/>
      <c r="D6" s="136"/>
      <c r="E6" s="81" t="s">
        <v>6</v>
      </c>
      <c r="F6" s="85">
        <v>1</v>
      </c>
      <c r="G6" s="76"/>
      <c r="H6" s="76"/>
      <c r="I6" s="76"/>
      <c r="J6" s="76"/>
      <c r="K6" s="76"/>
      <c r="L6" s="76"/>
      <c r="M6" s="76"/>
      <c r="N6" s="76"/>
      <c r="O6" s="76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 x14ac:dyDescent="0.25">
      <c r="A7" s="86"/>
      <c r="B7" s="80"/>
      <c r="C7" s="76"/>
      <c r="D7" s="76"/>
      <c r="E7" s="87"/>
      <c r="F7" s="80"/>
      <c r="G7" s="76"/>
      <c r="H7" s="76"/>
      <c r="I7" s="76"/>
      <c r="J7" s="76"/>
      <c r="K7" s="76"/>
      <c r="L7" s="76"/>
      <c r="M7" s="76"/>
      <c r="N7" s="76"/>
      <c r="O7" s="76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 x14ac:dyDescent="0.25">
      <c r="A8" s="76"/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25">
      <c r="A9" s="88" t="s">
        <v>7</v>
      </c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2">
      <c r="A10" s="89" t="s">
        <v>8</v>
      </c>
      <c r="B10" s="90" t="s">
        <v>6</v>
      </c>
      <c r="C10" s="90" t="s">
        <v>9</v>
      </c>
      <c r="D10" s="90" t="s">
        <v>10</v>
      </c>
      <c r="E10" s="90" t="s">
        <v>11</v>
      </c>
      <c r="F10" s="91" t="s">
        <v>12</v>
      </c>
      <c r="G10" s="92"/>
      <c r="H10" s="92"/>
      <c r="I10" s="92"/>
      <c r="J10" s="92"/>
      <c r="K10" s="92"/>
      <c r="L10" s="92"/>
      <c r="M10" s="92"/>
      <c r="N10" s="92"/>
      <c r="O10" s="92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42" customHeight="1" x14ac:dyDescent="0.2">
      <c r="A11" s="93">
        <v>46249</v>
      </c>
      <c r="B11" s="94" t="s">
        <v>35</v>
      </c>
      <c r="C11" s="95" t="s">
        <v>36</v>
      </c>
      <c r="D11" s="95" t="s">
        <v>37</v>
      </c>
      <c r="E11" s="95" t="s">
        <v>38</v>
      </c>
      <c r="F11" s="96" t="s">
        <v>39</v>
      </c>
      <c r="G11" s="97"/>
      <c r="H11" s="97"/>
      <c r="I11" s="97"/>
      <c r="J11" s="97"/>
      <c r="K11" s="97"/>
      <c r="L11" s="97"/>
      <c r="M11" s="97"/>
      <c r="N11" s="97"/>
      <c r="O11" s="97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42" customHeight="1" x14ac:dyDescent="0.2">
      <c r="A12" s="93">
        <v>46249</v>
      </c>
      <c r="B12" s="94" t="s">
        <v>35</v>
      </c>
      <c r="C12" s="95" t="s">
        <v>40</v>
      </c>
      <c r="D12" s="95" t="s">
        <v>37</v>
      </c>
      <c r="E12" s="95" t="s">
        <v>41</v>
      </c>
      <c r="F12" s="96" t="s">
        <v>39</v>
      </c>
      <c r="G12" s="97"/>
      <c r="H12" s="97"/>
      <c r="I12" s="97"/>
      <c r="J12" s="97"/>
      <c r="K12" s="97"/>
      <c r="L12" s="97"/>
      <c r="M12" s="97"/>
      <c r="N12" s="97"/>
      <c r="O12" s="97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42" customHeight="1" x14ac:dyDescent="0.2">
      <c r="A13" s="93">
        <v>46249</v>
      </c>
      <c r="B13" s="94" t="s">
        <v>35</v>
      </c>
      <c r="C13" s="95" t="s">
        <v>42</v>
      </c>
      <c r="D13" s="95" t="s">
        <v>37</v>
      </c>
      <c r="E13" s="95" t="s">
        <v>43</v>
      </c>
      <c r="F13" s="96" t="s">
        <v>39</v>
      </c>
      <c r="G13" s="97"/>
      <c r="H13" s="97"/>
      <c r="I13" s="97"/>
      <c r="J13" s="97"/>
      <c r="K13" s="97"/>
      <c r="L13" s="97"/>
      <c r="M13" s="97"/>
      <c r="N13" s="97"/>
      <c r="O13" s="97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42" customHeight="1" x14ac:dyDescent="0.2">
      <c r="A14" s="93">
        <v>46249</v>
      </c>
      <c r="B14" s="94" t="s">
        <v>35</v>
      </c>
      <c r="C14" s="95" t="s">
        <v>44</v>
      </c>
      <c r="D14" s="95" t="s">
        <v>37</v>
      </c>
      <c r="E14" s="95" t="s">
        <v>45</v>
      </c>
      <c r="F14" s="96" t="s">
        <v>39</v>
      </c>
      <c r="G14" s="97"/>
      <c r="H14" s="97"/>
      <c r="I14" s="97"/>
      <c r="J14" s="97"/>
      <c r="K14" s="97"/>
      <c r="L14" s="97"/>
      <c r="M14" s="97"/>
      <c r="N14" s="97"/>
      <c r="O14" s="97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42" customHeight="1" x14ac:dyDescent="0.2">
      <c r="A15" s="93">
        <v>46249</v>
      </c>
      <c r="B15" s="94" t="s">
        <v>35</v>
      </c>
      <c r="C15" s="95" t="s">
        <v>46</v>
      </c>
      <c r="D15" s="95" t="s">
        <v>47</v>
      </c>
      <c r="E15" s="95" t="s">
        <v>48</v>
      </c>
      <c r="F15" s="96" t="s">
        <v>39</v>
      </c>
      <c r="G15" s="97"/>
      <c r="H15" s="97"/>
      <c r="I15" s="97"/>
      <c r="J15" s="97"/>
      <c r="K15" s="97"/>
      <c r="L15" s="97"/>
      <c r="M15" s="97"/>
      <c r="N15" s="97"/>
      <c r="O15" s="97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42" customHeight="1" x14ac:dyDescent="0.2">
      <c r="A16" s="93">
        <v>46249</v>
      </c>
      <c r="B16" s="94" t="s">
        <v>35</v>
      </c>
      <c r="C16" s="95" t="s">
        <v>49</v>
      </c>
      <c r="D16" s="95" t="s">
        <v>37</v>
      </c>
      <c r="E16" s="95" t="s">
        <v>50</v>
      </c>
      <c r="F16" s="96" t="s">
        <v>39</v>
      </c>
      <c r="G16" s="97"/>
      <c r="H16" s="97"/>
      <c r="I16" s="97"/>
      <c r="J16" s="97"/>
      <c r="K16" s="97"/>
      <c r="L16" s="97"/>
      <c r="M16" s="97"/>
      <c r="N16" s="97"/>
      <c r="O16" s="97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.75" customHeight="1" x14ac:dyDescent="0.25">
      <c r="A17" s="75"/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25">
      <c r="A18" s="75"/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25">
      <c r="A19" s="75"/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25">
      <c r="A20" s="75"/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25">
      <c r="A21" s="75"/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25">
      <c r="A22" s="75"/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25">
      <c r="A23" s="75"/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25">
      <c r="A24" s="75"/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25">
      <c r="A25" s="75"/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25">
      <c r="A26" s="75"/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25">
      <c r="A27" s="75"/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25">
      <c r="A28" s="75"/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25">
      <c r="A29" s="75"/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25">
      <c r="A30" s="75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25">
      <c r="A31" s="75"/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25">
      <c r="A32" s="75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25">
      <c r="A33" s="75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25">
      <c r="A34" s="75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25">
      <c r="A35" s="75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25">
      <c r="A36" s="75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25">
      <c r="A37" s="75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25">
      <c r="A38" s="75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25">
      <c r="A39" s="75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25">
      <c r="A40" s="75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25">
      <c r="A41" s="75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25">
      <c r="A42" s="75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25">
      <c r="A43" s="75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25">
      <c r="A44" s="75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25">
      <c r="A45" s="75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25">
      <c r="A46" s="75"/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25">
      <c r="A47" s="75"/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25">
      <c r="A48" s="75"/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25">
      <c r="A49" s="75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25">
      <c r="A50" s="75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25">
      <c r="A51" s="75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25">
      <c r="A52" s="75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25">
      <c r="A53" s="75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25">
      <c r="A54" s="75"/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25">
      <c r="A55" s="75"/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25">
      <c r="A56" s="75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25">
      <c r="A57" s="75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25">
      <c r="A58" s="75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25">
      <c r="A59" s="75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25">
      <c r="A60" s="75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25">
      <c r="A61" s="75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25">
      <c r="A62" s="75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25">
      <c r="A63" s="75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25">
      <c r="A64" s="75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25">
      <c r="A65" s="75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25">
      <c r="A66" s="75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25">
      <c r="A67" s="75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5">
      <c r="A68" s="75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5">
      <c r="A69" s="75"/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5">
      <c r="A70" s="75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5">
      <c r="A71" s="75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5">
      <c r="A72" s="75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5">
      <c r="A73" s="75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5">
      <c r="A74" s="75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5">
      <c r="A75" s="75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5">
      <c r="A76" s="75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5">
      <c r="A77" s="75"/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5">
      <c r="A78" s="75"/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5">
      <c r="A79" s="75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5">
      <c r="A80" s="75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5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5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5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5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5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5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5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5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5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5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5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5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5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5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5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5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5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5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5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5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5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5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5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5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5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5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5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5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5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5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5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5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5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5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5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5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5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5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5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5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5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5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5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5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5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5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5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5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5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5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5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5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5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5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5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5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5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5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5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5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5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5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5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5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5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5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5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5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5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5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5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5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5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5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5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5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5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5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5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5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5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5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5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5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5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5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5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5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5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5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5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5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5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5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5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5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5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5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5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5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5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5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5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5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5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5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5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5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5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5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5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5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5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5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5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5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5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5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5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5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5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5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5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5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5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5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5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5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5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5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5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5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5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5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5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5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5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5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5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5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5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5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5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5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5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5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5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5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5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5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5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5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5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5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5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5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5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5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5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5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5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5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5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5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5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5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5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5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5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5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5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5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5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5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5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5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5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5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5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5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5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5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5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5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5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5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5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5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5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5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5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5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5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5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5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5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5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5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5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5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5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5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5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5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5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5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5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5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5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5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5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5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5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5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5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5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5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5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5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5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5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5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5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5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5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5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5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5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5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5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5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5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5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5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5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5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5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5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5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5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5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5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5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5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5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5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5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5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5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5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5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5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5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5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5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5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25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5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5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5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5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5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5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5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5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5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5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5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5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5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5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5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5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5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5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5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5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5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5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5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5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5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5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5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5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5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5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5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5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5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5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5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5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5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5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5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5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5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5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5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5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5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5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5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5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5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5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5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5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5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5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5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5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5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5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5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5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5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5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5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5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5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5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5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5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5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5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5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5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5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5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5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5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5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5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5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5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5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5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5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5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5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5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5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5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5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5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5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5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5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5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5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5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5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5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5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5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5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5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5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5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5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5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5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5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5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5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5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5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5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5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5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5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5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5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5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5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5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5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5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5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5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5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5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5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5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5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5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5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5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5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5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5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5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5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5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5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5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5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5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5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5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5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5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5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5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5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5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5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5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5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5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5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5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5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5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5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5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5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5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5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5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5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5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5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5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5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5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5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5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5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5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5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5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5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5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5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5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5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5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5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5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5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5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5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5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5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5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5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5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5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5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5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5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5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5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5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5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5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5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5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5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5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5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5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5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5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5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5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5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5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5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5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5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5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5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5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5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5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5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5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5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5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5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5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5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5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5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5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5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5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5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5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5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5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5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5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5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5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5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5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5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5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5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5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5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5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5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5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5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5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5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5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5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5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5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5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5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5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5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5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5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5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5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5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5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5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5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5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5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5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5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5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5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5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5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5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5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5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5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5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5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5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5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5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5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5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5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5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5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5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5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5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5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5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5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5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5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5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5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5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5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5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5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5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5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5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5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5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5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5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5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5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5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5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5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5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5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5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5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5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5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5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5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5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5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5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5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5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5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5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5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5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5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5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5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5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5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5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5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5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5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5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5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5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5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5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5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5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5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5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5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5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5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5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5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5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5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5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5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5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5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5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5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5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5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5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5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5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5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5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5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5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5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5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5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5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5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5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5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5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5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5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5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5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5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5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5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5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5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5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5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5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5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5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5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5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5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5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5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5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5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5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5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5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5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5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5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5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5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5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5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5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5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5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5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5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5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5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5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5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5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5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5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5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5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5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5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5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5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5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5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5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5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5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5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5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5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5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5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5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5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5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5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5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5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5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5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5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5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5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5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5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5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5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5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5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5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5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5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5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5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5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5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5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5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5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5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5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5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5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5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5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5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5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5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5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5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5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5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5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5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5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5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5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5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5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5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5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5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5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5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5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5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5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5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5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5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5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5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5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5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5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5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5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5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5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5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5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5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5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5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5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5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5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5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5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5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5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5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5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5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5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5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5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5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5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5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5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5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5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5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5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5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5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5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5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5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5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5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5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5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5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5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5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5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5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5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5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5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5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5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5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5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5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5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5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5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5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5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5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5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5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5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5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5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5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5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5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5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5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5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5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5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5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5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5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5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5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5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5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5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5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5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5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5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5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5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5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5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5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5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5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5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5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5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5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5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25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25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25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25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25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25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25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25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25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25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25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25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25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25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25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25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25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25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25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25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25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25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25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25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25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25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25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25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25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25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25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25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25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25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25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25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25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25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25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25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25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25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25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25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25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25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25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25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25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25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25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4">
    <mergeCell ref="B2:F2"/>
    <mergeCell ref="B4:D4"/>
    <mergeCell ref="B5:D5"/>
    <mergeCell ref="B6:D6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28"/>
  <sheetViews>
    <sheetView topLeftCell="A42" workbookViewId="0">
      <selection activeCell="H11" sqref="H11"/>
    </sheetView>
  </sheetViews>
  <sheetFormatPr defaultColWidth="12.6640625" defaultRowHeight="13.2" x14ac:dyDescent="0.2"/>
  <cols>
    <col min="1" max="1" width="1.33203125" customWidth="1"/>
    <col min="2" max="2" width="11.88671875" customWidth="1"/>
    <col min="3" max="3" width="34" customWidth="1"/>
    <col min="4" max="4" width="20" customWidth="1"/>
    <col min="5" max="5" width="52" customWidth="1"/>
    <col min="6" max="6" width="44" customWidth="1"/>
    <col min="7" max="26" width="9" customWidth="1"/>
  </cols>
  <sheetData>
    <row r="1" spans="1:26" ht="10.199999999999999" customHeight="1" x14ac:dyDescent="0.25">
      <c r="A1" s="98"/>
      <c r="B1" s="99"/>
      <c r="C1" s="100"/>
      <c r="D1" s="101" t="s">
        <v>13</v>
      </c>
      <c r="E1" s="101"/>
      <c r="F1" s="100"/>
      <c r="G1" s="98"/>
      <c r="H1" s="98"/>
      <c r="I1" s="98"/>
      <c r="J1" s="98"/>
      <c r="K1" s="98"/>
      <c r="L1" s="98"/>
      <c r="M1" s="98"/>
      <c r="N1" s="98"/>
      <c r="O1" s="98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0.8" customHeight="1" x14ac:dyDescent="0.25">
      <c r="A2" s="98"/>
      <c r="B2" s="99"/>
      <c r="C2" s="100"/>
      <c r="D2" s="102"/>
      <c r="E2" s="102"/>
      <c r="F2" s="100"/>
      <c r="G2" s="98"/>
      <c r="H2" s="98"/>
      <c r="I2" s="98"/>
      <c r="J2" s="98"/>
      <c r="K2" s="98"/>
      <c r="L2" s="98"/>
      <c r="M2" s="98"/>
      <c r="N2" s="98"/>
      <c r="O2" s="98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0.199999999999999" customHeight="1" x14ac:dyDescent="0.25">
      <c r="A3" s="98"/>
      <c r="B3" s="139" t="s">
        <v>1</v>
      </c>
      <c r="C3" s="140"/>
      <c r="D3" s="141" t="s">
        <v>32</v>
      </c>
      <c r="E3" s="135"/>
      <c r="F3" s="136"/>
      <c r="G3" s="98"/>
      <c r="H3" s="98"/>
      <c r="I3" s="98"/>
      <c r="J3" s="98"/>
      <c r="K3" s="98"/>
      <c r="L3" s="98"/>
      <c r="M3" s="98"/>
      <c r="N3" s="98"/>
      <c r="O3" s="98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0.199999999999999" customHeight="1" x14ac:dyDescent="0.25">
      <c r="A4" s="98"/>
      <c r="B4" s="139" t="s">
        <v>3</v>
      </c>
      <c r="C4" s="140"/>
      <c r="D4" s="141" t="s">
        <v>34</v>
      </c>
      <c r="E4" s="135"/>
      <c r="F4" s="136"/>
      <c r="G4" s="98"/>
      <c r="H4" s="98"/>
      <c r="I4" s="98"/>
      <c r="J4" s="98"/>
      <c r="K4" s="98"/>
      <c r="L4" s="98"/>
      <c r="M4" s="98"/>
      <c r="N4" s="98"/>
      <c r="O4" s="98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91.95" customHeight="1" x14ac:dyDescent="0.25">
      <c r="A5" s="98"/>
      <c r="B5" s="142" t="s">
        <v>14</v>
      </c>
      <c r="C5" s="136"/>
      <c r="D5" s="143" t="s">
        <v>51</v>
      </c>
      <c r="E5" s="135"/>
      <c r="F5" s="136"/>
      <c r="G5" s="98"/>
      <c r="H5" s="98"/>
      <c r="I5" s="98"/>
      <c r="J5" s="98"/>
      <c r="K5" s="98"/>
      <c r="L5" s="98"/>
      <c r="M5" s="98"/>
      <c r="N5" s="98"/>
      <c r="O5" s="98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0.199999999999999" customHeight="1" x14ac:dyDescent="0.2">
      <c r="A6" s="103"/>
      <c r="B6" s="104"/>
      <c r="C6" s="105"/>
      <c r="D6" s="105"/>
      <c r="E6" s="105"/>
      <c r="F6" s="105"/>
      <c r="G6" s="103"/>
      <c r="H6" s="103"/>
      <c r="I6" s="103"/>
      <c r="J6" s="103"/>
      <c r="K6" s="103"/>
      <c r="L6" s="103"/>
      <c r="M6" s="103"/>
      <c r="N6" s="103"/>
      <c r="O6" s="103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0.199999999999999" customHeight="1" x14ac:dyDescent="0.2">
      <c r="A7" s="103"/>
      <c r="B7" s="144"/>
      <c r="C7" s="145"/>
      <c r="D7" s="145"/>
      <c r="E7" s="145"/>
      <c r="F7" s="145"/>
      <c r="G7" s="103"/>
      <c r="H7" s="103"/>
      <c r="I7" s="103"/>
      <c r="J7" s="103"/>
      <c r="K7" s="103"/>
      <c r="L7" s="103"/>
      <c r="M7" s="103"/>
      <c r="N7" s="103"/>
      <c r="O7" s="103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6.8" customHeight="1" x14ac:dyDescent="0.25">
      <c r="A8" s="107"/>
      <c r="B8" s="108" t="s">
        <v>15</v>
      </c>
      <c r="C8" s="109" t="s">
        <v>16</v>
      </c>
      <c r="D8" s="109" t="s">
        <v>17</v>
      </c>
      <c r="E8" s="110" t="s">
        <v>18</v>
      </c>
      <c r="F8" s="111" t="s">
        <v>19</v>
      </c>
      <c r="G8" s="107"/>
      <c r="H8" s="107"/>
      <c r="I8" s="107"/>
      <c r="J8" s="107"/>
      <c r="K8" s="107"/>
      <c r="L8" s="107"/>
      <c r="M8" s="107"/>
      <c r="N8" s="107"/>
      <c r="O8" s="107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24.75" customHeight="1" x14ac:dyDescent="0.25">
      <c r="A9" s="98"/>
      <c r="B9" s="42">
        <v>1</v>
      </c>
      <c r="C9" s="43" t="s">
        <v>52</v>
      </c>
      <c r="D9" s="160" t="str">
        <f t="shared" ref="D9:D14" si="0">HYPERLINK("#'Login'!A1","Login")</f>
        <v>Login</v>
      </c>
      <c r="E9" s="44" t="s">
        <v>53</v>
      </c>
      <c r="F9" s="44" t="s">
        <v>54</v>
      </c>
      <c r="G9" s="98"/>
      <c r="H9" s="98"/>
      <c r="I9" s="98"/>
      <c r="J9" s="98"/>
      <c r="K9" s="98"/>
      <c r="L9" s="98"/>
      <c r="M9" s="98"/>
      <c r="N9" s="98"/>
      <c r="O9" s="98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24.75" customHeight="1" x14ac:dyDescent="0.25">
      <c r="A10" s="98"/>
      <c r="B10" s="42">
        <v>2</v>
      </c>
      <c r="C10" s="43" t="s">
        <v>55</v>
      </c>
      <c r="D10" s="162"/>
      <c r="E10" s="44" t="s">
        <v>56</v>
      </c>
      <c r="F10" s="44" t="s">
        <v>57</v>
      </c>
      <c r="G10" s="98"/>
      <c r="H10" s="98"/>
      <c r="I10" s="98"/>
      <c r="J10" s="98"/>
      <c r="K10" s="98"/>
      <c r="L10" s="98"/>
      <c r="M10" s="98"/>
      <c r="N10" s="98"/>
      <c r="O10" s="98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24.75" customHeight="1" x14ac:dyDescent="0.25">
      <c r="A11" s="98"/>
      <c r="B11" s="42">
        <v>3</v>
      </c>
      <c r="C11" s="43" t="s">
        <v>58</v>
      </c>
      <c r="D11" s="162"/>
      <c r="E11" s="44" t="s">
        <v>59</v>
      </c>
      <c r="F11" s="44" t="s">
        <v>60</v>
      </c>
      <c r="G11" s="98"/>
      <c r="H11" s="98"/>
      <c r="I11" s="98"/>
      <c r="J11" s="98"/>
      <c r="K11" s="98"/>
      <c r="L11" s="98"/>
      <c r="M11" s="98"/>
      <c r="N11" s="98"/>
      <c r="O11" s="98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24.75" customHeight="1" x14ac:dyDescent="0.25">
      <c r="A12" s="98"/>
      <c r="B12" s="42">
        <v>4</v>
      </c>
      <c r="C12" s="43" t="s">
        <v>61</v>
      </c>
      <c r="D12" s="162"/>
      <c r="E12" s="44" t="s">
        <v>62</v>
      </c>
      <c r="F12" s="44" t="s">
        <v>63</v>
      </c>
      <c r="G12" s="98"/>
      <c r="H12" s="98"/>
      <c r="I12" s="98"/>
      <c r="J12" s="98"/>
      <c r="K12" s="98"/>
      <c r="L12" s="98"/>
      <c r="M12" s="98"/>
      <c r="N12" s="98"/>
      <c r="O12" s="98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4.75" customHeight="1" x14ac:dyDescent="0.25">
      <c r="A13" s="98"/>
      <c r="B13" s="42">
        <v>5</v>
      </c>
      <c r="C13" s="43" t="s">
        <v>64</v>
      </c>
      <c r="D13" s="162"/>
      <c r="E13" s="44" t="s">
        <v>65</v>
      </c>
      <c r="F13" s="44" t="s">
        <v>66</v>
      </c>
      <c r="G13" s="98"/>
      <c r="H13" s="98"/>
      <c r="I13" s="98"/>
      <c r="J13" s="98"/>
      <c r="K13" s="98"/>
      <c r="L13" s="98"/>
      <c r="M13" s="98"/>
      <c r="N13" s="98"/>
      <c r="O13" s="98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4.75" customHeight="1" x14ac:dyDescent="0.25">
      <c r="A14" s="98"/>
      <c r="B14" s="42">
        <v>6</v>
      </c>
      <c r="C14" s="43" t="s">
        <v>67</v>
      </c>
      <c r="D14" s="161"/>
      <c r="E14" s="44" t="s">
        <v>68</v>
      </c>
      <c r="F14" s="44" t="s">
        <v>69</v>
      </c>
      <c r="G14" s="98"/>
      <c r="H14" s="98"/>
      <c r="I14" s="98"/>
      <c r="J14" s="98"/>
      <c r="K14" s="98"/>
      <c r="L14" s="98"/>
      <c r="M14" s="98"/>
      <c r="N14" s="98"/>
      <c r="O14" s="98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4.75" customHeight="1" x14ac:dyDescent="0.25">
      <c r="A15" s="98"/>
      <c r="B15" s="42">
        <v>7</v>
      </c>
      <c r="C15" s="43" t="s">
        <v>70</v>
      </c>
      <c r="D15" s="160" t="str">
        <f t="shared" ref="D15:D22" si="1">HYPERLINK("#'Register eKYC'!A1","Register eKYC")</f>
        <v>Register eKYC</v>
      </c>
      <c r="E15" s="44" t="s">
        <v>71</v>
      </c>
      <c r="F15" s="44" t="s">
        <v>72</v>
      </c>
      <c r="G15" s="98"/>
      <c r="H15" s="98"/>
      <c r="I15" s="98"/>
      <c r="J15" s="98"/>
      <c r="K15" s="98"/>
      <c r="L15" s="98"/>
      <c r="M15" s="98"/>
      <c r="N15" s="98"/>
      <c r="O15" s="98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4.75" customHeight="1" x14ac:dyDescent="0.25">
      <c r="A16" s="98"/>
      <c r="B16" s="42">
        <v>8</v>
      </c>
      <c r="C16" s="43" t="s">
        <v>73</v>
      </c>
      <c r="D16" s="162"/>
      <c r="E16" s="44" t="s">
        <v>74</v>
      </c>
      <c r="F16" s="44" t="s">
        <v>72</v>
      </c>
      <c r="G16" s="98"/>
      <c r="H16" s="98"/>
      <c r="I16" s="98"/>
      <c r="J16" s="98"/>
      <c r="K16" s="98"/>
      <c r="L16" s="98"/>
      <c r="M16" s="98"/>
      <c r="N16" s="98"/>
      <c r="O16" s="98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4.75" customHeight="1" x14ac:dyDescent="0.25">
      <c r="A17" s="98"/>
      <c r="B17" s="42">
        <v>9</v>
      </c>
      <c r="C17" s="43" t="s">
        <v>75</v>
      </c>
      <c r="D17" s="162"/>
      <c r="E17" s="44" t="s">
        <v>76</v>
      </c>
      <c r="F17" s="44" t="s">
        <v>77</v>
      </c>
      <c r="G17" s="98"/>
      <c r="H17" s="98"/>
      <c r="I17" s="98"/>
      <c r="J17" s="98"/>
      <c r="K17" s="98"/>
      <c r="L17" s="98"/>
      <c r="M17" s="98"/>
      <c r="N17" s="98"/>
      <c r="O17" s="98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24.75" customHeight="1" x14ac:dyDescent="0.3">
      <c r="A18" s="98"/>
      <c r="B18" s="42">
        <v>10</v>
      </c>
      <c r="C18" s="43" t="s">
        <v>78</v>
      </c>
      <c r="D18" s="162"/>
      <c r="E18" s="45" t="s">
        <v>79</v>
      </c>
      <c r="F18" s="44" t="s">
        <v>80</v>
      </c>
      <c r="G18" s="98"/>
      <c r="H18" s="98"/>
      <c r="I18" s="98"/>
      <c r="J18" s="98"/>
      <c r="K18" s="98"/>
      <c r="L18" s="98"/>
      <c r="M18" s="98"/>
      <c r="N18" s="98"/>
      <c r="O18" s="98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24.75" customHeight="1" x14ac:dyDescent="0.3">
      <c r="A19" s="98"/>
      <c r="B19" s="42">
        <v>11</v>
      </c>
      <c r="C19" s="43" t="s">
        <v>81</v>
      </c>
      <c r="D19" s="162"/>
      <c r="E19" s="45" t="s">
        <v>82</v>
      </c>
      <c r="F19" s="44" t="s">
        <v>83</v>
      </c>
      <c r="G19" s="98"/>
      <c r="H19" s="98"/>
      <c r="I19" s="98"/>
      <c r="J19" s="98"/>
      <c r="K19" s="98"/>
      <c r="L19" s="98"/>
      <c r="M19" s="98"/>
      <c r="N19" s="98"/>
      <c r="O19" s="98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24.75" customHeight="1" x14ac:dyDescent="0.3">
      <c r="A20" s="98"/>
      <c r="B20" s="42">
        <v>12</v>
      </c>
      <c r="C20" s="43" t="s">
        <v>84</v>
      </c>
      <c r="D20" s="162"/>
      <c r="E20" s="45" t="s">
        <v>85</v>
      </c>
      <c r="F20" s="44" t="s">
        <v>86</v>
      </c>
      <c r="G20" s="98"/>
      <c r="H20" s="98"/>
      <c r="I20" s="98"/>
      <c r="J20" s="98"/>
      <c r="K20" s="98"/>
      <c r="L20" s="98"/>
      <c r="M20" s="98"/>
      <c r="N20" s="98"/>
      <c r="O20" s="98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24.75" customHeight="1" x14ac:dyDescent="0.3">
      <c r="A21" s="98"/>
      <c r="B21" s="42">
        <v>13</v>
      </c>
      <c r="C21" s="43" t="s">
        <v>87</v>
      </c>
      <c r="D21" s="162"/>
      <c r="E21" s="45" t="s">
        <v>88</v>
      </c>
      <c r="F21" s="44" t="s">
        <v>89</v>
      </c>
      <c r="G21" s="98"/>
      <c r="H21" s="98"/>
      <c r="I21" s="98"/>
      <c r="J21" s="98"/>
      <c r="K21" s="98"/>
      <c r="L21" s="98"/>
      <c r="M21" s="98"/>
      <c r="N21" s="98"/>
      <c r="O21" s="98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24.75" customHeight="1" x14ac:dyDescent="0.3">
      <c r="A22" s="98"/>
      <c r="B22" s="42">
        <v>14</v>
      </c>
      <c r="C22" s="43" t="s">
        <v>90</v>
      </c>
      <c r="D22" s="161"/>
      <c r="E22" s="45" t="s">
        <v>91</v>
      </c>
      <c r="F22" s="44" t="s">
        <v>92</v>
      </c>
      <c r="G22" s="98"/>
      <c r="H22" s="98"/>
      <c r="I22" s="98"/>
      <c r="J22" s="98"/>
      <c r="K22" s="98"/>
      <c r="L22" s="98"/>
      <c r="M22" s="98"/>
      <c r="N22" s="98"/>
      <c r="O22" s="98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24.75" customHeight="1" x14ac:dyDescent="0.3">
      <c r="A23" s="98"/>
      <c r="B23" s="42">
        <v>15</v>
      </c>
      <c r="C23" s="43" t="s">
        <v>93</v>
      </c>
      <c r="D23" s="159" t="str">
        <f>HYPERLINK("#'Logout'!A1","Logout")</f>
        <v>Logout</v>
      </c>
      <c r="E23" s="45" t="s">
        <v>94</v>
      </c>
      <c r="F23" s="44" t="s">
        <v>95</v>
      </c>
      <c r="G23" s="98"/>
      <c r="H23" s="98"/>
      <c r="I23" s="98"/>
      <c r="J23" s="98"/>
      <c r="K23" s="98"/>
      <c r="L23" s="98"/>
      <c r="M23" s="98"/>
      <c r="N23" s="98"/>
      <c r="O23" s="98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24.75" customHeight="1" x14ac:dyDescent="0.3">
      <c r="A24" s="98"/>
      <c r="B24" s="42">
        <v>16</v>
      </c>
      <c r="C24" s="43" t="s">
        <v>96</v>
      </c>
      <c r="D24" s="160" t="str">
        <f>HYPERLINK("#'Password'!A1","Password")</f>
        <v>Password</v>
      </c>
      <c r="E24" s="45" t="s">
        <v>97</v>
      </c>
      <c r="F24" s="44" t="s">
        <v>98</v>
      </c>
      <c r="G24" s="98"/>
      <c r="H24" s="98"/>
      <c r="I24" s="98"/>
      <c r="J24" s="98"/>
      <c r="K24" s="98"/>
      <c r="L24" s="98"/>
      <c r="M24" s="98"/>
      <c r="N24" s="98"/>
      <c r="O24" s="98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24.75" customHeight="1" x14ac:dyDescent="0.3">
      <c r="A25" s="98"/>
      <c r="B25" s="42">
        <v>17</v>
      </c>
      <c r="C25" s="43" t="s">
        <v>99</v>
      </c>
      <c r="D25" s="161"/>
      <c r="E25" s="45" t="s">
        <v>100</v>
      </c>
      <c r="F25" s="44" t="s">
        <v>101</v>
      </c>
      <c r="G25" s="98"/>
      <c r="H25" s="98"/>
      <c r="I25" s="98"/>
      <c r="J25" s="98"/>
      <c r="K25" s="98"/>
      <c r="L25" s="98"/>
      <c r="M25" s="98"/>
      <c r="N25" s="98"/>
      <c r="O25" s="98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24.75" customHeight="1" x14ac:dyDescent="0.3">
      <c r="A26" s="98"/>
      <c r="B26" s="42">
        <v>18</v>
      </c>
      <c r="C26" s="43" t="s">
        <v>102</v>
      </c>
      <c r="D26" s="160" t="str">
        <f t="shared" ref="D26:D35" si="2">HYPERLINK("#'Profile Trust'!A1","Profile Trust")</f>
        <v>Profile Trust</v>
      </c>
      <c r="E26" s="45" t="s">
        <v>103</v>
      </c>
      <c r="F26" s="44" t="s">
        <v>95</v>
      </c>
      <c r="G26" s="98"/>
      <c r="H26" s="98"/>
      <c r="I26" s="98"/>
      <c r="J26" s="98"/>
      <c r="K26" s="98"/>
      <c r="L26" s="98"/>
      <c r="M26" s="98"/>
      <c r="N26" s="98"/>
      <c r="O26" s="98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24.75" customHeight="1" x14ac:dyDescent="0.3">
      <c r="A27" s="98"/>
      <c r="B27" s="42">
        <v>19</v>
      </c>
      <c r="C27" s="43" t="s">
        <v>104</v>
      </c>
      <c r="D27" s="162"/>
      <c r="E27" s="45" t="s">
        <v>105</v>
      </c>
      <c r="F27" s="44" t="s">
        <v>106</v>
      </c>
      <c r="G27" s="98"/>
      <c r="H27" s="98"/>
      <c r="I27" s="98"/>
      <c r="J27" s="98"/>
      <c r="K27" s="98"/>
      <c r="L27" s="98"/>
      <c r="M27" s="98"/>
      <c r="N27" s="98"/>
      <c r="O27" s="98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24.75" customHeight="1" x14ac:dyDescent="0.3">
      <c r="A28" s="98"/>
      <c r="B28" s="42">
        <v>20</v>
      </c>
      <c r="C28" s="43" t="s">
        <v>107</v>
      </c>
      <c r="D28" s="162"/>
      <c r="E28" s="45" t="s">
        <v>108</v>
      </c>
      <c r="F28" s="44" t="s">
        <v>109</v>
      </c>
      <c r="G28" s="98"/>
      <c r="H28" s="98"/>
      <c r="I28" s="98"/>
      <c r="J28" s="98"/>
      <c r="K28" s="98"/>
      <c r="L28" s="98"/>
      <c r="M28" s="98"/>
      <c r="N28" s="98"/>
      <c r="O28" s="98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24.75" customHeight="1" x14ac:dyDescent="0.3">
      <c r="A29" s="98"/>
      <c r="B29" s="42">
        <v>21</v>
      </c>
      <c r="C29" s="43" t="s">
        <v>110</v>
      </c>
      <c r="D29" s="162"/>
      <c r="E29" s="45" t="s">
        <v>111</v>
      </c>
      <c r="F29" s="44" t="s">
        <v>112</v>
      </c>
      <c r="G29" s="98"/>
      <c r="H29" s="98"/>
      <c r="I29" s="98"/>
      <c r="J29" s="98"/>
      <c r="K29" s="98"/>
      <c r="L29" s="98"/>
      <c r="M29" s="98"/>
      <c r="N29" s="98"/>
      <c r="O29" s="98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24.75" customHeight="1" x14ac:dyDescent="0.3">
      <c r="A30" s="98"/>
      <c r="B30" s="42">
        <v>22</v>
      </c>
      <c r="C30" s="43" t="s">
        <v>113</v>
      </c>
      <c r="D30" s="162"/>
      <c r="E30" s="45" t="s">
        <v>114</v>
      </c>
      <c r="F30" s="44" t="s">
        <v>115</v>
      </c>
      <c r="G30" s="98"/>
      <c r="H30" s="98"/>
      <c r="I30" s="98"/>
      <c r="J30" s="98"/>
      <c r="K30" s="98"/>
      <c r="L30" s="98"/>
      <c r="M30" s="98"/>
      <c r="N30" s="98"/>
      <c r="O30" s="98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24.75" customHeight="1" x14ac:dyDescent="0.3">
      <c r="A31" s="98"/>
      <c r="B31" s="42">
        <v>23</v>
      </c>
      <c r="C31" s="43" t="s">
        <v>116</v>
      </c>
      <c r="D31" s="162"/>
      <c r="E31" s="45" t="s">
        <v>117</v>
      </c>
      <c r="F31" s="44" t="s">
        <v>118</v>
      </c>
      <c r="G31" s="98"/>
      <c r="H31" s="98"/>
      <c r="I31" s="98"/>
      <c r="J31" s="98"/>
      <c r="K31" s="98"/>
      <c r="L31" s="98"/>
      <c r="M31" s="98"/>
      <c r="N31" s="98"/>
      <c r="O31" s="98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24.75" customHeight="1" x14ac:dyDescent="0.3">
      <c r="A32" s="98"/>
      <c r="B32" s="42">
        <v>24</v>
      </c>
      <c r="C32" s="43" t="s">
        <v>119</v>
      </c>
      <c r="D32" s="162"/>
      <c r="E32" s="45" t="s">
        <v>120</v>
      </c>
      <c r="F32" s="44" t="s">
        <v>121</v>
      </c>
      <c r="G32" s="98"/>
      <c r="H32" s="98"/>
      <c r="I32" s="98"/>
      <c r="J32" s="98"/>
      <c r="K32" s="98"/>
      <c r="L32" s="98"/>
      <c r="M32" s="98"/>
      <c r="N32" s="98"/>
      <c r="O32" s="98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24.75" customHeight="1" x14ac:dyDescent="0.25">
      <c r="A33" s="98"/>
      <c r="B33" s="46">
        <v>25</v>
      </c>
      <c r="C33" s="47" t="s">
        <v>122</v>
      </c>
      <c r="D33" s="162"/>
      <c r="E33" s="48" t="s">
        <v>123</v>
      </c>
      <c r="F33" s="48" t="s">
        <v>124</v>
      </c>
      <c r="G33" s="98"/>
      <c r="H33" s="98"/>
      <c r="I33" s="98"/>
      <c r="J33" s="98"/>
      <c r="K33" s="98"/>
      <c r="L33" s="98"/>
      <c r="M33" s="98"/>
      <c r="N33" s="98"/>
      <c r="O33" s="98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24.75" customHeight="1" x14ac:dyDescent="0.25">
      <c r="A34" s="98"/>
      <c r="B34" s="46">
        <v>26</v>
      </c>
      <c r="C34" s="47" t="s">
        <v>125</v>
      </c>
      <c r="D34" s="162"/>
      <c r="E34" s="48" t="s">
        <v>126</v>
      </c>
      <c r="F34" s="48" t="s">
        <v>127</v>
      </c>
      <c r="G34" s="98"/>
      <c r="H34" s="98"/>
      <c r="I34" s="98"/>
      <c r="J34" s="98"/>
      <c r="K34" s="98"/>
      <c r="L34" s="98"/>
      <c r="M34" s="98"/>
      <c r="N34" s="98"/>
      <c r="O34" s="98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24.75" customHeight="1" x14ac:dyDescent="0.25">
      <c r="A35" s="98"/>
      <c r="B35" s="46">
        <v>27</v>
      </c>
      <c r="C35" s="47" t="s">
        <v>128</v>
      </c>
      <c r="D35" s="161"/>
      <c r="E35" s="48" t="s">
        <v>129</v>
      </c>
      <c r="F35" s="48" t="s">
        <v>130</v>
      </c>
      <c r="G35" s="98"/>
      <c r="H35" s="98"/>
      <c r="I35" s="98"/>
      <c r="J35" s="98"/>
      <c r="K35" s="98"/>
      <c r="L35" s="98"/>
      <c r="M35" s="98"/>
      <c r="N35" s="98"/>
      <c r="O35" s="98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24.75" customHeight="1" x14ac:dyDescent="0.25">
      <c r="A36" s="98"/>
      <c r="B36" s="46">
        <v>28</v>
      </c>
      <c r="C36" s="47" t="s">
        <v>131</v>
      </c>
      <c r="D36" s="160" t="str">
        <f t="shared" ref="D36:D43" si="3">HYPERLINK("#'Admin Controls'!A1","Admin Controls")</f>
        <v>Admin Controls</v>
      </c>
      <c r="E36" s="48" t="s">
        <v>132</v>
      </c>
      <c r="F36" s="48" t="s">
        <v>133</v>
      </c>
      <c r="G36" s="98"/>
      <c r="H36" s="98"/>
      <c r="I36" s="98"/>
      <c r="J36" s="98"/>
      <c r="K36" s="98"/>
      <c r="L36" s="98"/>
      <c r="M36" s="98"/>
      <c r="N36" s="98"/>
      <c r="O36" s="98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24.75" customHeight="1" x14ac:dyDescent="0.25">
      <c r="A37" s="98"/>
      <c r="B37" s="46">
        <v>29</v>
      </c>
      <c r="C37" s="47" t="s">
        <v>134</v>
      </c>
      <c r="D37" s="162"/>
      <c r="E37" s="48" t="s">
        <v>135</v>
      </c>
      <c r="F37" s="48" t="s">
        <v>136</v>
      </c>
      <c r="G37" s="98"/>
      <c r="H37" s="98"/>
      <c r="I37" s="98"/>
      <c r="J37" s="98"/>
      <c r="K37" s="98"/>
      <c r="L37" s="98"/>
      <c r="M37" s="98"/>
      <c r="N37" s="98"/>
      <c r="O37" s="98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24.75" customHeight="1" x14ac:dyDescent="0.25">
      <c r="A38" s="98"/>
      <c r="B38" s="46">
        <v>30</v>
      </c>
      <c r="C38" s="47" t="s">
        <v>137</v>
      </c>
      <c r="D38" s="162"/>
      <c r="E38" s="48" t="s">
        <v>138</v>
      </c>
      <c r="F38" s="48" t="s">
        <v>139</v>
      </c>
      <c r="G38" s="98"/>
      <c r="H38" s="98"/>
      <c r="I38" s="98"/>
      <c r="J38" s="98"/>
      <c r="K38" s="98"/>
      <c r="L38" s="98"/>
      <c r="M38" s="98"/>
      <c r="N38" s="98"/>
      <c r="O38" s="98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24.75" customHeight="1" x14ac:dyDescent="0.25">
      <c r="A39" s="98"/>
      <c r="B39" s="46">
        <v>31</v>
      </c>
      <c r="C39" s="47" t="s">
        <v>140</v>
      </c>
      <c r="D39" s="162"/>
      <c r="E39" s="48" t="s">
        <v>141</v>
      </c>
      <c r="F39" s="48" t="s">
        <v>142</v>
      </c>
      <c r="G39" s="98"/>
      <c r="H39" s="98"/>
      <c r="I39" s="98"/>
      <c r="J39" s="98"/>
      <c r="K39" s="98"/>
      <c r="L39" s="98"/>
      <c r="M39" s="98"/>
      <c r="N39" s="98"/>
      <c r="O39" s="98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24.75" customHeight="1" x14ac:dyDescent="0.25">
      <c r="A40" s="98"/>
      <c r="B40" s="46">
        <v>32</v>
      </c>
      <c r="C40" s="47" t="s">
        <v>143</v>
      </c>
      <c r="D40" s="162"/>
      <c r="E40" s="48" t="s">
        <v>144</v>
      </c>
      <c r="F40" s="48" t="s">
        <v>145</v>
      </c>
      <c r="G40" s="98"/>
      <c r="H40" s="98"/>
      <c r="I40" s="98"/>
      <c r="J40" s="98"/>
      <c r="K40" s="98"/>
      <c r="L40" s="98"/>
      <c r="M40" s="98"/>
      <c r="N40" s="98"/>
      <c r="O40" s="98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24.75" customHeight="1" x14ac:dyDescent="0.25">
      <c r="A41" s="98"/>
      <c r="B41" s="46">
        <v>33</v>
      </c>
      <c r="C41" s="47" t="s">
        <v>146</v>
      </c>
      <c r="D41" s="162"/>
      <c r="E41" s="48" t="s">
        <v>147</v>
      </c>
      <c r="F41" s="48" t="s">
        <v>148</v>
      </c>
      <c r="G41" s="98"/>
      <c r="H41" s="98"/>
      <c r="I41" s="98"/>
      <c r="J41" s="98"/>
      <c r="K41" s="98"/>
      <c r="L41" s="98"/>
      <c r="M41" s="98"/>
      <c r="N41" s="98"/>
      <c r="O41" s="98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24.75" customHeight="1" x14ac:dyDescent="0.25">
      <c r="A42" s="98"/>
      <c r="B42" s="46">
        <v>34</v>
      </c>
      <c r="C42" s="47" t="s">
        <v>149</v>
      </c>
      <c r="D42" s="162"/>
      <c r="E42" s="48" t="s">
        <v>150</v>
      </c>
      <c r="F42" s="48" t="s">
        <v>151</v>
      </c>
      <c r="G42" s="98"/>
      <c r="H42" s="98"/>
      <c r="I42" s="98"/>
      <c r="J42" s="98"/>
      <c r="K42" s="98"/>
      <c r="L42" s="98"/>
      <c r="M42" s="98"/>
      <c r="N42" s="98"/>
      <c r="O42" s="98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24.75" customHeight="1" x14ac:dyDescent="0.25">
      <c r="A43" s="98"/>
      <c r="B43" s="46">
        <v>35</v>
      </c>
      <c r="C43" s="47" t="s">
        <v>152</v>
      </c>
      <c r="D43" s="161"/>
      <c r="E43" s="48" t="s">
        <v>153</v>
      </c>
      <c r="F43" s="48" t="s">
        <v>154</v>
      </c>
      <c r="G43" s="98"/>
      <c r="H43" s="98"/>
      <c r="I43" s="98"/>
      <c r="J43" s="98"/>
      <c r="K43" s="98"/>
      <c r="L43" s="98"/>
      <c r="M43" s="98"/>
      <c r="N43" s="98"/>
      <c r="O43" s="98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24.75" customHeight="1" x14ac:dyDescent="0.25">
      <c r="A44" s="98"/>
      <c r="B44" s="46">
        <v>36</v>
      </c>
      <c r="C44" s="47" t="s">
        <v>155</v>
      </c>
      <c r="D44" s="160" t="str">
        <f t="shared" ref="D44:D57" si="4">HYPERLINK("#'Food Listings'!A1","Food Listings")</f>
        <v>Food Listings</v>
      </c>
      <c r="E44" s="48" t="s">
        <v>156</v>
      </c>
      <c r="F44" s="48" t="s">
        <v>157</v>
      </c>
      <c r="G44" s="98"/>
      <c r="H44" s="98"/>
      <c r="I44" s="98"/>
      <c r="J44" s="98"/>
      <c r="K44" s="98"/>
      <c r="L44" s="98"/>
      <c r="M44" s="98"/>
      <c r="N44" s="98"/>
      <c r="O44" s="98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24.75" customHeight="1" x14ac:dyDescent="0.25">
      <c r="A45" s="98"/>
      <c r="B45" s="46">
        <v>37</v>
      </c>
      <c r="C45" s="47" t="s">
        <v>158</v>
      </c>
      <c r="D45" s="162"/>
      <c r="E45" s="48" t="s">
        <v>159</v>
      </c>
      <c r="F45" s="48" t="s">
        <v>160</v>
      </c>
      <c r="G45" s="98"/>
      <c r="H45" s="98"/>
      <c r="I45" s="98"/>
      <c r="J45" s="98"/>
      <c r="K45" s="98"/>
      <c r="L45" s="98"/>
      <c r="M45" s="98"/>
      <c r="N45" s="98"/>
      <c r="O45" s="98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24.75" customHeight="1" x14ac:dyDescent="0.25">
      <c r="A46" s="98"/>
      <c r="B46" s="46">
        <v>38</v>
      </c>
      <c r="C46" s="47" t="s">
        <v>161</v>
      </c>
      <c r="D46" s="162"/>
      <c r="E46" s="48" t="s">
        <v>162</v>
      </c>
      <c r="F46" s="48" t="s">
        <v>160</v>
      </c>
      <c r="G46" s="98"/>
      <c r="H46" s="98"/>
      <c r="I46" s="98"/>
      <c r="J46" s="98"/>
      <c r="K46" s="98"/>
      <c r="L46" s="98"/>
      <c r="M46" s="98"/>
      <c r="N46" s="98"/>
      <c r="O46" s="98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24.75" customHeight="1" x14ac:dyDescent="0.25">
      <c r="A47" s="98"/>
      <c r="B47" s="46">
        <v>39</v>
      </c>
      <c r="C47" s="47" t="s">
        <v>163</v>
      </c>
      <c r="D47" s="162"/>
      <c r="E47" s="48" t="s">
        <v>164</v>
      </c>
      <c r="F47" s="48" t="s">
        <v>165</v>
      </c>
      <c r="G47" s="98"/>
      <c r="H47" s="98"/>
      <c r="I47" s="98"/>
      <c r="J47" s="98"/>
      <c r="K47" s="98"/>
      <c r="L47" s="98"/>
      <c r="M47" s="98"/>
      <c r="N47" s="98"/>
      <c r="O47" s="98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24.75" customHeight="1" x14ac:dyDescent="0.25">
      <c r="A48" s="98"/>
      <c r="B48" s="46">
        <v>40</v>
      </c>
      <c r="C48" s="47" t="s">
        <v>166</v>
      </c>
      <c r="D48" s="162"/>
      <c r="E48" s="48" t="s">
        <v>167</v>
      </c>
      <c r="F48" s="48" t="s">
        <v>168</v>
      </c>
      <c r="G48" s="98"/>
      <c r="H48" s="98"/>
      <c r="I48" s="98"/>
      <c r="J48" s="98"/>
      <c r="K48" s="98"/>
      <c r="L48" s="98"/>
      <c r="M48" s="98"/>
      <c r="N48" s="98"/>
      <c r="O48" s="98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24.75" customHeight="1" x14ac:dyDescent="0.25">
      <c r="A49" s="98"/>
      <c r="B49" s="46">
        <v>41</v>
      </c>
      <c r="C49" s="47" t="s">
        <v>169</v>
      </c>
      <c r="D49" s="162"/>
      <c r="E49" s="48" t="s">
        <v>170</v>
      </c>
      <c r="F49" s="48" t="s">
        <v>168</v>
      </c>
      <c r="G49" s="98"/>
      <c r="H49" s="98"/>
      <c r="I49" s="98"/>
      <c r="J49" s="98"/>
      <c r="K49" s="98"/>
      <c r="L49" s="98"/>
      <c r="M49" s="98"/>
      <c r="N49" s="98"/>
      <c r="O49" s="98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24.75" customHeight="1" x14ac:dyDescent="0.25">
      <c r="A50" s="98"/>
      <c r="B50" s="49">
        <v>42</v>
      </c>
      <c r="C50" s="50" t="s">
        <v>171</v>
      </c>
      <c r="D50" s="162"/>
      <c r="E50" s="50" t="s">
        <v>172</v>
      </c>
      <c r="F50" s="50" t="s">
        <v>168</v>
      </c>
      <c r="G50" s="98"/>
      <c r="H50" s="98"/>
      <c r="I50" s="98"/>
      <c r="J50" s="98"/>
      <c r="K50" s="98"/>
      <c r="L50" s="98"/>
      <c r="M50" s="98"/>
      <c r="N50" s="98"/>
      <c r="O50" s="98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24.75" customHeight="1" x14ac:dyDescent="0.25">
      <c r="A51" s="98"/>
      <c r="B51" s="49">
        <v>43</v>
      </c>
      <c r="C51" s="50" t="s">
        <v>173</v>
      </c>
      <c r="D51" s="162"/>
      <c r="E51" s="50" t="s">
        <v>174</v>
      </c>
      <c r="F51" s="50" t="s">
        <v>175</v>
      </c>
      <c r="G51" s="98"/>
      <c r="H51" s="98"/>
      <c r="I51" s="98"/>
      <c r="J51" s="98"/>
      <c r="K51" s="98"/>
      <c r="L51" s="98"/>
      <c r="M51" s="98"/>
      <c r="N51" s="98"/>
      <c r="O51" s="98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24.75" customHeight="1" x14ac:dyDescent="0.25">
      <c r="A52" s="98"/>
      <c r="B52" s="49">
        <v>44</v>
      </c>
      <c r="C52" s="50" t="s">
        <v>176</v>
      </c>
      <c r="D52" s="162"/>
      <c r="E52" s="50" t="s">
        <v>177</v>
      </c>
      <c r="F52" s="50" t="s">
        <v>178</v>
      </c>
      <c r="G52" s="98"/>
      <c r="H52" s="98"/>
      <c r="I52" s="98"/>
      <c r="J52" s="98"/>
      <c r="K52" s="98"/>
      <c r="L52" s="98"/>
      <c r="M52" s="98"/>
      <c r="N52" s="98"/>
      <c r="O52" s="98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24.75" customHeight="1" x14ac:dyDescent="0.25">
      <c r="A53" s="98"/>
      <c r="B53" s="49">
        <v>45</v>
      </c>
      <c r="C53" s="50" t="s">
        <v>179</v>
      </c>
      <c r="D53" s="162"/>
      <c r="E53" s="50" t="s">
        <v>180</v>
      </c>
      <c r="F53" s="50" t="s">
        <v>181</v>
      </c>
      <c r="G53" s="98"/>
      <c r="H53" s="98"/>
      <c r="I53" s="98"/>
      <c r="J53" s="98"/>
      <c r="K53" s="98"/>
      <c r="L53" s="98"/>
      <c r="M53" s="98"/>
      <c r="N53" s="98"/>
      <c r="O53" s="98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24.75" customHeight="1" x14ac:dyDescent="0.25">
      <c r="A54" s="98"/>
      <c r="B54" s="49">
        <v>46</v>
      </c>
      <c r="C54" s="50" t="s">
        <v>182</v>
      </c>
      <c r="D54" s="162"/>
      <c r="E54" s="50" t="s">
        <v>183</v>
      </c>
      <c r="F54" s="50" t="s">
        <v>184</v>
      </c>
      <c r="G54" s="98"/>
      <c r="H54" s="98"/>
      <c r="I54" s="98"/>
      <c r="J54" s="98"/>
      <c r="K54" s="98"/>
      <c r="L54" s="98"/>
      <c r="M54" s="98"/>
      <c r="N54" s="98"/>
      <c r="O54" s="98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24.75" customHeight="1" x14ac:dyDescent="0.25">
      <c r="A55" s="98"/>
      <c r="B55" s="49">
        <v>47</v>
      </c>
      <c r="C55" s="50" t="s">
        <v>185</v>
      </c>
      <c r="D55" s="162"/>
      <c r="E55" s="50" t="s">
        <v>186</v>
      </c>
      <c r="F55" s="50" t="s">
        <v>187</v>
      </c>
      <c r="G55" s="98"/>
      <c r="H55" s="98"/>
      <c r="I55" s="98"/>
      <c r="J55" s="98"/>
      <c r="K55" s="98"/>
      <c r="L55" s="98"/>
      <c r="M55" s="98"/>
      <c r="N55" s="98"/>
      <c r="O55" s="98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24.75" customHeight="1" x14ac:dyDescent="0.25">
      <c r="A56" s="98"/>
      <c r="B56" s="49">
        <v>48</v>
      </c>
      <c r="C56" s="50" t="s">
        <v>188</v>
      </c>
      <c r="D56" s="162"/>
      <c r="E56" s="50" t="s">
        <v>189</v>
      </c>
      <c r="F56" s="50" t="s">
        <v>190</v>
      </c>
      <c r="G56" s="98"/>
      <c r="H56" s="98"/>
      <c r="I56" s="98"/>
      <c r="J56" s="98"/>
      <c r="K56" s="98"/>
      <c r="L56" s="98"/>
      <c r="M56" s="98"/>
      <c r="N56" s="98"/>
      <c r="O56" s="98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24.75" customHeight="1" x14ac:dyDescent="0.25">
      <c r="A57" s="98"/>
      <c r="B57" s="49">
        <v>49</v>
      </c>
      <c r="C57" s="50" t="s">
        <v>191</v>
      </c>
      <c r="D57" s="161"/>
      <c r="E57" s="50" t="s">
        <v>192</v>
      </c>
      <c r="F57" s="50" t="s">
        <v>193</v>
      </c>
      <c r="G57" s="98"/>
      <c r="H57" s="98"/>
      <c r="I57" s="98"/>
      <c r="J57" s="98"/>
      <c r="K57" s="98"/>
      <c r="L57" s="98"/>
      <c r="M57" s="98"/>
      <c r="N57" s="98"/>
      <c r="O57" s="98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24.75" customHeight="1" x14ac:dyDescent="0.25">
      <c r="A58" s="98"/>
      <c r="B58" s="49">
        <v>50</v>
      </c>
      <c r="C58" s="50" t="s">
        <v>194</v>
      </c>
      <c r="D58" s="160" t="str">
        <f t="shared" ref="D58:D64" si="5">HYPERLINK("#'Reservations QR'!A1","Reservations QR")</f>
        <v>Reservations QR</v>
      </c>
      <c r="E58" s="50" t="s">
        <v>195</v>
      </c>
      <c r="F58" s="50" t="s">
        <v>196</v>
      </c>
      <c r="G58" s="98"/>
      <c r="H58" s="98"/>
      <c r="I58" s="98"/>
      <c r="J58" s="98"/>
      <c r="K58" s="98"/>
      <c r="L58" s="98"/>
      <c r="M58" s="98"/>
      <c r="N58" s="98"/>
      <c r="O58" s="98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24.75" customHeight="1" x14ac:dyDescent="0.25">
      <c r="A59" s="98"/>
      <c r="B59" s="49">
        <v>51</v>
      </c>
      <c r="C59" s="50" t="s">
        <v>197</v>
      </c>
      <c r="D59" s="162"/>
      <c r="E59" s="50" t="s">
        <v>198</v>
      </c>
      <c r="F59" s="50" t="s">
        <v>199</v>
      </c>
      <c r="G59" s="98"/>
      <c r="H59" s="98"/>
      <c r="I59" s="98"/>
      <c r="J59" s="98"/>
      <c r="K59" s="98"/>
      <c r="L59" s="98"/>
      <c r="M59" s="98"/>
      <c r="N59" s="98"/>
      <c r="O59" s="98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24.75" customHeight="1" x14ac:dyDescent="0.25">
      <c r="A60" s="98"/>
      <c r="B60" s="49">
        <v>52</v>
      </c>
      <c r="C60" s="50" t="s">
        <v>200</v>
      </c>
      <c r="D60" s="162"/>
      <c r="E60" s="50" t="s">
        <v>201</v>
      </c>
      <c r="F60" s="50" t="s">
        <v>202</v>
      </c>
      <c r="G60" s="98"/>
      <c r="H60" s="98"/>
      <c r="I60" s="98"/>
      <c r="J60" s="98"/>
      <c r="K60" s="98"/>
      <c r="L60" s="98"/>
      <c r="M60" s="98"/>
      <c r="N60" s="98"/>
      <c r="O60" s="98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24.75" customHeight="1" x14ac:dyDescent="0.25">
      <c r="A61" s="98"/>
      <c r="B61" s="49">
        <v>53</v>
      </c>
      <c r="C61" s="50" t="s">
        <v>203</v>
      </c>
      <c r="D61" s="162"/>
      <c r="E61" s="50" t="s">
        <v>204</v>
      </c>
      <c r="F61" s="50" t="s">
        <v>205</v>
      </c>
      <c r="G61" s="98"/>
      <c r="H61" s="98"/>
      <c r="I61" s="98"/>
      <c r="J61" s="98"/>
      <c r="K61" s="98"/>
      <c r="L61" s="98"/>
      <c r="M61" s="98"/>
      <c r="N61" s="98"/>
      <c r="O61" s="98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24.75" customHeight="1" x14ac:dyDescent="0.25">
      <c r="A62" s="98"/>
      <c r="B62" s="49">
        <v>54</v>
      </c>
      <c r="C62" s="50" t="s">
        <v>206</v>
      </c>
      <c r="D62" s="162"/>
      <c r="E62" s="50" t="s">
        <v>207</v>
      </c>
      <c r="F62" s="50" t="s">
        <v>208</v>
      </c>
      <c r="G62" s="98"/>
      <c r="H62" s="98"/>
      <c r="I62" s="98"/>
      <c r="J62" s="98"/>
      <c r="K62" s="98"/>
      <c r="L62" s="98"/>
      <c r="M62" s="98"/>
      <c r="N62" s="98"/>
      <c r="O62" s="98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24.75" customHeight="1" x14ac:dyDescent="0.25">
      <c r="A63" s="98"/>
      <c r="B63" s="49">
        <v>55</v>
      </c>
      <c r="C63" s="50" t="s">
        <v>209</v>
      </c>
      <c r="D63" s="162"/>
      <c r="E63" s="50" t="s">
        <v>210</v>
      </c>
      <c r="F63" s="50" t="s">
        <v>211</v>
      </c>
      <c r="G63" s="98"/>
      <c r="H63" s="98"/>
      <c r="I63" s="98"/>
      <c r="J63" s="98"/>
      <c r="K63" s="98"/>
      <c r="L63" s="98"/>
      <c r="M63" s="98"/>
      <c r="N63" s="98"/>
      <c r="O63" s="98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24.75" customHeight="1" x14ac:dyDescent="0.25">
      <c r="A64" s="98"/>
      <c r="B64" s="49">
        <v>56</v>
      </c>
      <c r="C64" s="50" t="s">
        <v>212</v>
      </c>
      <c r="D64" s="161"/>
      <c r="E64" s="50" t="s">
        <v>213</v>
      </c>
      <c r="F64" s="50" t="s">
        <v>214</v>
      </c>
      <c r="G64" s="98"/>
      <c r="H64" s="98"/>
      <c r="I64" s="98"/>
      <c r="J64" s="98"/>
      <c r="K64" s="98"/>
      <c r="L64" s="98"/>
      <c r="M64" s="98"/>
      <c r="N64" s="98"/>
      <c r="O64" s="98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24.75" customHeight="1" x14ac:dyDescent="0.25">
      <c r="A65" s="98"/>
      <c r="B65" s="49">
        <v>57</v>
      </c>
      <c r="C65" s="50" t="s">
        <v>215</v>
      </c>
      <c r="D65" s="160" t="str">
        <f t="shared" ref="D65:D78" si="6">HYPERLINK("#'Delivery Shipper'!A1","Delivery Shipper")</f>
        <v>Delivery Shipper</v>
      </c>
      <c r="E65" s="50" t="s">
        <v>216</v>
      </c>
      <c r="F65" s="50" t="s">
        <v>217</v>
      </c>
      <c r="G65" s="98"/>
      <c r="H65" s="98"/>
      <c r="I65" s="98"/>
      <c r="J65" s="98"/>
      <c r="K65" s="98"/>
      <c r="L65" s="98"/>
      <c r="M65" s="98"/>
      <c r="N65" s="98"/>
      <c r="O65" s="98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24.75" customHeight="1" x14ac:dyDescent="0.25">
      <c r="A66" s="98"/>
      <c r="B66" s="49">
        <v>58</v>
      </c>
      <c r="C66" s="50" t="s">
        <v>218</v>
      </c>
      <c r="D66" s="162"/>
      <c r="E66" s="50" t="s">
        <v>219</v>
      </c>
      <c r="F66" s="50" t="s">
        <v>220</v>
      </c>
      <c r="G66" s="98"/>
      <c r="H66" s="98"/>
      <c r="I66" s="98"/>
      <c r="J66" s="98"/>
      <c r="K66" s="98"/>
      <c r="L66" s="98"/>
      <c r="M66" s="98"/>
      <c r="N66" s="98"/>
      <c r="O66" s="98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24.75" customHeight="1" x14ac:dyDescent="0.25">
      <c r="A67" s="98"/>
      <c r="B67" s="49">
        <v>59</v>
      </c>
      <c r="C67" s="50" t="s">
        <v>221</v>
      </c>
      <c r="D67" s="162"/>
      <c r="E67" s="50" t="s">
        <v>222</v>
      </c>
      <c r="F67" s="50" t="s">
        <v>223</v>
      </c>
      <c r="G67" s="98"/>
      <c r="H67" s="98"/>
      <c r="I67" s="98"/>
      <c r="J67" s="98"/>
      <c r="K67" s="98"/>
      <c r="L67" s="98"/>
      <c r="M67" s="98"/>
      <c r="N67" s="98"/>
      <c r="O67" s="98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24.75" customHeight="1" x14ac:dyDescent="0.25">
      <c r="A68" s="98"/>
      <c r="B68" s="49">
        <v>60</v>
      </c>
      <c r="C68" s="50" t="s">
        <v>224</v>
      </c>
      <c r="D68" s="162"/>
      <c r="E68" s="50" t="s">
        <v>225</v>
      </c>
      <c r="F68" s="50" t="s">
        <v>226</v>
      </c>
      <c r="G68" s="98"/>
      <c r="H68" s="98"/>
      <c r="I68" s="98"/>
      <c r="J68" s="98"/>
      <c r="K68" s="98"/>
      <c r="L68" s="98"/>
      <c r="M68" s="98"/>
      <c r="N68" s="98"/>
      <c r="O68" s="98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24.75" customHeight="1" x14ac:dyDescent="0.25">
      <c r="A69" s="98"/>
      <c r="B69" s="49">
        <v>61</v>
      </c>
      <c r="C69" s="50" t="s">
        <v>227</v>
      </c>
      <c r="D69" s="162"/>
      <c r="E69" s="50" t="s">
        <v>228</v>
      </c>
      <c r="F69" s="50" t="s">
        <v>223</v>
      </c>
      <c r="G69" s="98"/>
      <c r="H69" s="98"/>
      <c r="I69" s="98"/>
      <c r="J69" s="98"/>
      <c r="K69" s="98"/>
      <c r="L69" s="98"/>
      <c r="M69" s="98"/>
      <c r="N69" s="98"/>
      <c r="O69" s="98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24.75" customHeight="1" x14ac:dyDescent="0.25">
      <c r="A70" s="98"/>
      <c r="B70" s="49">
        <v>62</v>
      </c>
      <c r="C70" s="50" t="s">
        <v>229</v>
      </c>
      <c r="D70" s="162"/>
      <c r="E70" s="50" t="s">
        <v>230</v>
      </c>
      <c r="F70" s="50" t="s">
        <v>231</v>
      </c>
      <c r="G70" s="98"/>
      <c r="H70" s="98"/>
      <c r="I70" s="98"/>
      <c r="J70" s="98"/>
      <c r="K70" s="98"/>
      <c r="L70" s="98"/>
      <c r="M70" s="98"/>
      <c r="N70" s="98"/>
      <c r="O70" s="98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24.75" customHeight="1" x14ac:dyDescent="0.25">
      <c r="A71" s="98"/>
      <c r="B71" s="49">
        <v>63</v>
      </c>
      <c r="C71" s="50" t="s">
        <v>232</v>
      </c>
      <c r="D71" s="162"/>
      <c r="E71" s="50" t="s">
        <v>233</v>
      </c>
      <c r="F71" s="50" t="s">
        <v>234</v>
      </c>
      <c r="G71" s="98"/>
      <c r="H71" s="98"/>
      <c r="I71" s="98"/>
      <c r="J71" s="98"/>
      <c r="K71" s="98"/>
      <c r="L71" s="98"/>
      <c r="M71" s="98"/>
      <c r="N71" s="98"/>
      <c r="O71" s="98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24.75" customHeight="1" x14ac:dyDescent="0.25">
      <c r="A72" s="98"/>
      <c r="B72" s="49">
        <v>64</v>
      </c>
      <c r="C72" s="50" t="s">
        <v>235</v>
      </c>
      <c r="D72" s="162"/>
      <c r="E72" s="50" t="s">
        <v>236</v>
      </c>
      <c r="F72" s="50" t="s">
        <v>237</v>
      </c>
      <c r="G72" s="98"/>
      <c r="H72" s="98"/>
      <c r="I72" s="98"/>
      <c r="J72" s="98"/>
      <c r="K72" s="98"/>
      <c r="L72" s="98"/>
      <c r="M72" s="98"/>
      <c r="N72" s="98"/>
      <c r="O72" s="98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24.75" customHeight="1" x14ac:dyDescent="0.25">
      <c r="A73" s="98"/>
      <c r="B73" s="49">
        <v>65</v>
      </c>
      <c r="C73" s="50" t="s">
        <v>238</v>
      </c>
      <c r="D73" s="162"/>
      <c r="E73" s="50" t="s">
        <v>239</v>
      </c>
      <c r="F73" s="50" t="s">
        <v>240</v>
      </c>
      <c r="G73" s="98"/>
      <c r="H73" s="98"/>
      <c r="I73" s="98"/>
      <c r="J73" s="98"/>
      <c r="K73" s="98"/>
      <c r="L73" s="98"/>
      <c r="M73" s="98"/>
      <c r="N73" s="98"/>
      <c r="O73" s="98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24.75" customHeight="1" x14ac:dyDescent="0.25">
      <c r="A74" s="98"/>
      <c r="B74" s="49">
        <v>66</v>
      </c>
      <c r="C74" s="50" t="s">
        <v>241</v>
      </c>
      <c r="D74" s="162"/>
      <c r="E74" s="50" t="s">
        <v>242</v>
      </c>
      <c r="F74" s="50" t="s">
        <v>243</v>
      </c>
      <c r="G74" s="98"/>
      <c r="H74" s="98"/>
      <c r="I74" s="98"/>
      <c r="J74" s="98"/>
      <c r="K74" s="98"/>
      <c r="L74" s="98"/>
      <c r="M74" s="98"/>
      <c r="N74" s="98"/>
      <c r="O74" s="98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24.75" customHeight="1" x14ac:dyDescent="0.25">
      <c r="A75" s="98"/>
      <c r="B75" s="49">
        <v>67</v>
      </c>
      <c r="C75" s="50" t="s">
        <v>244</v>
      </c>
      <c r="D75" s="162"/>
      <c r="E75" s="50" t="s">
        <v>245</v>
      </c>
      <c r="F75" s="50" t="s">
        <v>246</v>
      </c>
      <c r="G75" s="98"/>
      <c r="H75" s="98"/>
      <c r="I75" s="98"/>
      <c r="J75" s="98"/>
      <c r="K75" s="98"/>
      <c r="L75" s="98"/>
      <c r="M75" s="98"/>
      <c r="N75" s="98"/>
      <c r="O75" s="98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24.75" customHeight="1" x14ac:dyDescent="0.25">
      <c r="A76" s="98"/>
      <c r="B76" s="49">
        <v>68</v>
      </c>
      <c r="C76" s="50" t="s">
        <v>247</v>
      </c>
      <c r="D76" s="162"/>
      <c r="E76" s="50" t="s">
        <v>248</v>
      </c>
      <c r="F76" s="50" t="s">
        <v>246</v>
      </c>
      <c r="G76" s="98"/>
      <c r="H76" s="98"/>
      <c r="I76" s="98"/>
      <c r="J76" s="98"/>
      <c r="K76" s="98"/>
      <c r="L76" s="98"/>
      <c r="M76" s="98"/>
      <c r="N76" s="98"/>
      <c r="O76" s="98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24.75" customHeight="1" x14ac:dyDescent="0.25">
      <c r="A77" s="98"/>
      <c r="B77" s="49">
        <v>69</v>
      </c>
      <c r="C77" s="50" t="s">
        <v>249</v>
      </c>
      <c r="D77" s="162"/>
      <c r="E77" s="50" t="s">
        <v>250</v>
      </c>
      <c r="F77" s="50" t="s">
        <v>251</v>
      </c>
      <c r="G77" s="98"/>
      <c r="H77" s="98"/>
      <c r="I77" s="98"/>
      <c r="J77" s="98"/>
      <c r="K77" s="98"/>
      <c r="L77" s="98"/>
      <c r="M77" s="98"/>
      <c r="N77" s="98"/>
      <c r="O77" s="98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24.75" customHeight="1" x14ac:dyDescent="0.25">
      <c r="A78" s="98"/>
      <c r="B78" s="49">
        <v>70</v>
      </c>
      <c r="C78" s="50" t="s">
        <v>252</v>
      </c>
      <c r="D78" s="161"/>
      <c r="E78" s="50" t="s">
        <v>253</v>
      </c>
      <c r="F78" s="50" t="s">
        <v>254</v>
      </c>
      <c r="G78" s="98"/>
      <c r="H78" s="98"/>
      <c r="I78" s="98"/>
      <c r="J78" s="98"/>
      <c r="K78" s="98"/>
      <c r="L78" s="98"/>
      <c r="M78" s="98"/>
      <c r="N78" s="98"/>
      <c r="O78" s="98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24.75" customHeight="1" x14ac:dyDescent="0.25">
      <c r="A79" s="98"/>
      <c r="B79" s="49">
        <v>71</v>
      </c>
      <c r="C79" s="50" t="s">
        <v>255</v>
      </c>
      <c r="D79" s="160" t="str">
        <f t="shared" ref="D79:D106" si="7">HYPERLINK("#'Campaign Kitchen Ops'!A1","Campaign Kitchen Ops")</f>
        <v>Campaign Kitchen Ops</v>
      </c>
      <c r="E79" s="50" t="s">
        <v>256</v>
      </c>
      <c r="F79" s="50" t="s">
        <v>257</v>
      </c>
      <c r="G79" s="98"/>
      <c r="H79" s="98"/>
      <c r="I79" s="98"/>
      <c r="J79" s="98"/>
      <c r="K79" s="98"/>
      <c r="L79" s="98"/>
      <c r="M79" s="98"/>
      <c r="N79" s="98"/>
      <c r="O79" s="98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24.75" customHeight="1" x14ac:dyDescent="0.25">
      <c r="A80" s="98"/>
      <c r="B80" s="49">
        <v>72</v>
      </c>
      <c r="C80" s="50" t="s">
        <v>258</v>
      </c>
      <c r="D80" s="162"/>
      <c r="E80" s="50" t="s">
        <v>259</v>
      </c>
      <c r="F80" s="50" t="s">
        <v>260</v>
      </c>
      <c r="G80" s="98"/>
      <c r="H80" s="98"/>
      <c r="I80" s="98"/>
      <c r="J80" s="98"/>
      <c r="K80" s="98"/>
      <c r="L80" s="98"/>
      <c r="M80" s="98"/>
      <c r="N80" s="98"/>
      <c r="O80" s="98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24.75" customHeight="1" x14ac:dyDescent="0.25">
      <c r="A81" s="7"/>
      <c r="B81" s="49">
        <v>73</v>
      </c>
      <c r="C81" s="50" t="s">
        <v>261</v>
      </c>
      <c r="D81" s="162"/>
      <c r="E81" s="50" t="s">
        <v>262</v>
      </c>
      <c r="F81" s="50" t="s">
        <v>263</v>
      </c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24.75" customHeight="1" x14ac:dyDescent="0.25">
      <c r="A82" s="7"/>
      <c r="B82" s="49">
        <v>74</v>
      </c>
      <c r="C82" s="50" t="s">
        <v>264</v>
      </c>
      <c r="D82" s="162"/>
      <c r="E82" s="50" t="s">
        <v>265</v>
      </c>
      <c r="F82" s="50" t="s">
        <v>266</v>
      </c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24.75" customHeight="1" x14ac:dyDescent="0.25">
      <c r="A83" s="7"/>
      <c r="B83" s="49">
        <v>75</v>
      </c>
      <c r="C83" s="50" t="s">
        <v>267</v>
      </c>
      <c r="D83" s="162"/>
      <c r="E83" s="50" t="s">
        <v>268</v>
      </c>
      <c r="F83" s="50" t="s">
        <v>269</v>
      </c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24.75" customHeight="1" x14ac:dyDescent="0.25">
      <c r="A84" s="7"/>
      <c r="B84" s="49">
        <v>76</v>
      </c>
      <c r="C84" s="50" t="s">
        <v>270</v>
      </c>
      <c r="D84" s="162"/>
      <c r="E84" s="50" t="s">
        <v>271</v>
      </c>
      <c r="F84" s="50" t="s">
        <v>272</v>
      </c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24.75" customHeight="1" x14ac:dyDescent="0.25">
      <c r="A85" s="7"/>
      <c r="B85" s="49">
        <v>77</v>
      </c>
      <c r="C85" s="50" t="s">
        <v>273</v>
      </c>
      <c r="D85" s="162"/>
      <c r="E85" s="50" t="s">
        <v>274</v>
      </c>
      <c r="F85" s="50" t="s">
        <v>275</v>
      </c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24.75" customHeight="1" x14ac:dyDescent="0.25">
      <c r="A86" s="7"/>
      <c r="B86" s="49">
        <v>78</v>
      </c>
      <c r="C86" s="50" t="s">
        <v>276</v>
      </c>
      <c r="D86" s="162"/>
      <c r="E86" s="50" t="s">
        <v>277</v>
      </c>
      <c r="F86" s="50" t="s">
        <v>278</v>
      </c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24.75" customHeight="1" x14ac:dyDescent="0.25">
      <c r="A87" s="7"/>
      <c r="B87" s="49">
        <v>79</v>
      </c>
      <c r="C87" s="50" t="s">
        <v>279</v>
      </c>
      <c r="D87" s="162"/>
      <c r="E87" s="50" t="s">
        <v>280</v>
      </c>
      <c r="F87" s="50" t="s">
        <v>281</v>
      </c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24.75" customHeight="1" x14ac:dyDescent="0.25">
      <c r="A88" s="7"/>
      <c r="B88" s="49">
        <v>80</v>
      </c>
      <c r="C88" s="50" t="s">
        <v>282</v>
      </c>
      <c r="D88" s="162"/>
      <c r="E88" s="50" t="s">
        <v>283</v>
      </c>
      <c r="F88" s="50" t="s">
        <v>284</v>
      </c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24.75" customHeight="1" x14ac:dyDescent="0.25">
      <c r="A89" s="7"/>
      <c r="B89" s="49">
        <v>81</v>
      </c>
      <c r="C89" s="50" t="s">
        <v>285</v>
      </c>
      <c r="D89" s="162"/>
      <c r="E89" s="50" t="s">
        <v>286</v>
      </c>
      <c r="F89" s="50" t="s">
        <v>287</v>
      </c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24.75" customHeight="1" x14ac:dyDescent="0.25">
      <c r="A90" s="7"/>
      <c r="B90" s="49">
        <v>82</v>
      </c>
      <c r="C90" s="50" t="s">
        <v>288</v>
      </c>
      <c r="D90" s="162"/>
      <c r="E90" s="50" t="s">
        <v>289</v>
      </c>
      <c r="F90" s="50" t="s">
        <v>290</v>
      </c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24.75" customHeight="1" x14ac:dyDescent="0.25">
      <c r="A91" s="7"/>
      <c r="B91" s="49">
        <v>83</v>
      </c>
      <c r="C91" s="50" t="s">
        <v>291</v>
      </c>
      <c r="D91" s="162"/>
      <c r="E91" s="50" t="s">
        <v>292</v>
      </c>
      <c r="F91" s="50" t="s">
        <v>293</v>
      </c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24.75" customHeight="1" x14ac:dyDescent="0.25">
      <c r="A92" s="7"/>
      <c r="B92" s="49">
        <v>84</v>
      </c>
      <c r="C92" s="50" t="s">
        <v>294</v>
      </c>
      <c r="D92" s="162"/>
      <c r="E92" s="50" t="s">
        <v>295</v>
      </c>
      <c r="F92" s="50" t="s">
        <v>296</v>
      </c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24.75" customHeight="1" x14ac:dyDescent="0.25">
      <c r="A93" s="7"/>
      <c r="B93" s="49">
        <v>85</v>
      </c>
      <c r="C93" s="50" t="s">
        <v>297</v>
      </c>
      <c r="D93" s="162"/>
      <c r="E93" s="50" t="s">
        <v>298</v>
      </c>
      <c r="F93" s="50" t="s">
        <v>299</v>
      </c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24.75" customHeight="1" x14ac:dyDescent="0.25">
      <c r="A94" s="7"/>
      <c r="B94" s="49">
        <v>86</v>
      </c>
      <c r="C94" s="50" t="s">
        <v>300</v>
      </c>
      <c r="D94" s="162"/>
      <c r="E94" s="50" t="s">
        <v>301</v>
      </c>
      <c r="F94" s="50" t="s">
        <v>302</v>
      </c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24.75" customHeight="1" x14ac:dyDescent="0.25">
      <c r="A95" s="7"/>
      <c r="B95" s="49">
        <v>87</v>
      </c>
      <c r="C95" s="50" t="s">
        <v>303</v>
      </c>
      <c r="D95" s="162"/>
      <c r="E95" s="50" t="s">
        <v>304</v>
      </c>
      <c r="F95" s="50" t="s">
        <v>305</v>
      </c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24.75" customHeight="1" x14ac:dyDescent="0.25">
      <c r="A96" s="7"/>
      <c r="B96" s="49">
        <v>88</v>
      </c>
      <c r="C96" s="50" t="s">
        <v>306</v>
      </c>
      <c r="D96" s="162"/>
      <c r="E96" s="50" t="s">
        <v>307</v>
      </c>
      <c r="F96" s="50" t="s">
        <v>308</v>
      </c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24.75" customHeight="1" x14ac:dyDescent="0.25">
      <c r="A97" s="7"/>
      <c r="B97" s="49">
        <v>89</v>
      </c>
      <c r="C97" s="50" t="s">
        <v>309</v>
      </c>
      <c r="D97" s="162"/>
      <c r="E97" s="50" t="s">
        <v>310</v>
      </c>
      <c r="F97" s="50" t="s">
        <v>311</v>
      </c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24.75" customHeight="1" x14ac:dyDescent="0.25">
      <c r="A98" s="7"/>
      <c r="B98" s="49">
        <v>90</v>
      </c>
      <c r="C98" s="50" t="s">
        <v>312</v>
      </c>
      <c r="D98" s="162"/>
      <c r="E98" s="50" t="s">
        <v>313</v>
      </c>
      <c r="F98" s="50" t="s">
        <v>314</v>
      </c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24.75" customHeight="1" x14ac:dyDescent="0.25">
      <c r="A99" s="7"/>
      <c r="B99" s="49">
        <v>91</v>
      </c>
      <c r="C99" s="50" t="s">
        <v>315</v>
      </c>
      <c r="D99" s="162"/>
      <c r="E99" s="50" t="s">
        <v>316</v>
      </c>
      <c r="F99" s="50" t="s">
        <v>317</v>
      </c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24.75" customHeight="1" x14ac:dyDescent="0.25">
      <c r="A100" s="7"/>
      <c r="B100" s="49">
        <v>92</v>
      </c>
      <c r="C100" s="50" t="s">
        <v>318</v>
      </c>
      <c r="D100" s="162"/>
      <c r="E100" s="50" t="s">
        <v>319</v>
      </c>
      <c r="F100" s="50" t="s">
        <v>320</v>
      </c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24.75" customHeight="1" x14ac:dyDescent="0.25">
      <c r="A101" s="7"/>
      <c r="B101" s="49">
        <v>93</v>
      </c>
      <c r="C101" s="50" t="s">
        <v>321</v>
      </c>
      <c r="D101" s="162"/>
      <c r="E101" s="50" t="s">
        <v>322</v>
      </c>
      <c r="F101" s="50" t="s">
        <v>323</v>
      </c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24.75" customHeight="1" x14ac:dyDescent="0.25">
      <c r="A102" s="7"/>
      <c r="B102" s="49">
        <v>94</v>
      </c>
      <c r="C102" s="50" t="s">
        <v>324</v>
      </c>
      <c r="D102" s="162"/>
      <c r="E102" s="50" t="s">
        <v>325</v>
      </c>
      <c r="F102" s="50" t="s">
        <v>326</v>
      </c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24.75" customHeight="1" x14ac:dyDescent="0.25">
      <c r="A103" s="7"/>
      <c r="B103" s="49">
        <v>95</v>
      </c>
      <c r="C103" s="50" t="s">
        <v>327</v>
      </c>
      <c r="D103" s="162"/>
      <c r="E103" s="50" t="s">
        <v>328</v>
      </c>
      <c r="F103" s="50" t="s">
        <v>329</v>
      </c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24.75" customHeight="1" x14ac:dyDescent="0.25">
      <c r="A104" s="7"/>
      <c r="B104" s="49">
        <v>96</v>
      </c>
      <c r="C104" s="50" t="s">
        <v>330</v>
      </c>
      <c r="D104" s="162"/>
      <c r="E104" s="50" t="s">
        <v>331</v>
      </c>
      <c r="F104" s="50" t="s">
        <v>332</v>
      </c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24.75" customHeight="1" x14ac:dyDescent="0.25">
      <c r="A105" s="7"/>
      <c r="B105" s="49">
        <v>97</v>
      </c>
      <c r="C105" s="50" t="s">
        <v>333</v>
      </c>
      <c r="D105" s="162"/>
      <c r="E105" s="50" t="s">
        <v>334</v>
      </c>
      <c r="F105" s="50" t="s">
        <v>335</v>
      </c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24.75" customHeight="1" x14ac:dyDescent="0.25">
      <c r="A106" s="7"/>
      <c r="B106" s="49">
        <v>98</v>
      </c>
      <c r="C106" s="50" t="s">
        <v>336</v>
      </c>
      <c r="D106" s="161"/>
      <c r="E106" s="50" t="s">
        <v>337</v>
      </c>
      <c r="F106" s="50" t="s">
        <v>338</v>
      </c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24.75" customHeight="1" x14ac:dyDescent="0.25">
      <c r="A107" s="7"/>
      <c r="B107" s="49">
        <v>99</v>
      </c>
      <c r="C107" s="50" t="s">
        <v>339</v>
      </c>
      <c r="D107" s="160" t="str">
        <f t="shared" ref="D107:D112" si="8">HYPERLINK("#'Bulk Notifications'!A1","Bulk Notifications")</f>
        <v>Bulk Notifications</v>
      </c>
      <c r="E107" s="50" t="s">
        <v>340</v>
      </c>
      <c r="F107" s="50" t="s">
        <v>341</v>
      </c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24.75" customHeight="1" x14ac:dyDescent="0.25">
      <c r="A108" s="7"/>
      <c r="B108" s="49">
        <v>100</v>
      </c>
      <c r="C108" s="50" t="s">
        <v>342</v>
      </c>
      <c r="D108" s="162"/>
      <c r="E108" s="50" t="s">
        <v>343</v>
      </c>
      <c r="F108" s="50" t="s">
        <v>344</v>
      </c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24.75" customHeight="1" x14ac:dyDescent="0.25">
      <c r="A109" s="7"/>
      <c r="B109" s="49">
        <v>101</v>
      </c>
      <c r="C109" s="50" t="s">
        <v>345</v>
      </c>
      <c r="D109" s="162"/>
      <c r="E109" s="50" t="s">
        <v>346</v>
      </c>
      <c r="F109" s="50" t="s">
        <v>347</v>
      </c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24.75" customHeight="1" x14ac:dyDescent="0.25">
      <c r="A110" s="7"/>
      <c r="B110" s="49">
        <v>102</v>
      </c>
      <c r="C110" s="50" t="s">
        <v>348</v>
      </c>
      <c r="D110" s="162"/>
      <c r="E110" s="50" t="s">
        <v>349</v>
      </c>
      <c r="F110" s="50" t="s">
        <v>350</v>
      </c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24.75" customHeight="1" x14ac:dyDescent="0.25">
      <c r="A111" s="7"/>
      <c r="B111" s="49">
        <v>103</v>
      </c>
      <c r="C111" s="50" t="s">
        <v>351</v>
      </c>
      <c r="D111" s="162"/>
      <c r="E111" s="50" t="s">
        <v>352</v>
      </c>
      <c r="F111" s="50" t="s">
        <v>353</v>
      </c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24.75" customHeight="1" x14ac:dyDescent="0.25">
      <c r="A112" s="7"/>
      <c r="B112" s="49">
        <v>104</v>
      </c>
      <c r="C112" s="50" t="s">
        <v>354</v>
      </c>
      <c r="D112" s="161"/>
      <c r="E112" s="50" t="s">
        <v>355</v>
      </c>
      <c r="F112" s="50" t="s">
        <v>356</v>
      </c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0.199999999999999" customHeight="1" x14ac:dyDescent="0.25">
      <c r="A113" s="7"/>
      <c r="B113" s="8"/>
      <c r="C113" s="9"/>
      <c r="D113" s="9"/>
      <c r="E113" s="9"/>
      <c r="F113" s="9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0.199999999999999" customHeight="1" x14ac:dyDescent="0.25">
      <c r="A114" s="7"/>
      <c r="B114" s="8"/>
      <c r="C114" s="9"/>
      <c r="D114" s="9"/>
      <c r="E114" s="9"/>
      <c r="F114" s="9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0.199999999999999" customHeight="1" x14ac:dyDescent="0.25">
      <c r="A115" s="7"/>
      <c r="B115" s="8"/>
      <c r="C115" s="9"/>
      <c r="D115" s="9"/>
      <c r="E115" s="9"/>
      <c r="F115" s="9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0.199999999999999" customHeight="1" x14ac:dyDescent="0.25">
      <c r="A116" s="7"/>
      <c r="B116" s="8"/>
      <c r="C116" s="9"/>
      <c r="D116" s="9"/>
      <c r="E116" s="9"/>
      <c r="F116" s="9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0.199999999999999" customHeight="1" x14ac:dyDescent="0.25">
      <c r="A117" s="7"/>
      <c r="B117" s="8"/>
      <c r="C117" s="9"/>
      <c r="D117" s="9"/>
      <c r="E117" s="9"/>
      <c r="F117" s="9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0.199999999999999" customHeight="1" x14ac:dyDescent="0.25">
      <c r="A118" s="7"/>
      <c r="B118" s="8"/>
      <c r="C118" s="9"/>
      <c r="D118" s="9"/>
      <c r="E118" s="9"/>
      <c r="F118" s="9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0.199999999999999" customHeight="1" x14ac:dyDescent="0.25">
      <c r="A119" s="7"/>
      <c r="B119" s="8"/>
      <c r="C119" s="9"/>
      <c r="D119" s="9"/>
      <c r="E119" s="9"/>
      <c r="F119" s="9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0.199999999999999" customHeight="1" x14ac:dyDescent="0.25">
      <c r="A120" s="7"/>
      <c r="B120" s="8"/>
      <c r="C120" s="9"/>
      <c r="D120" s="9"/>
      <c r="E120" s="9"/>
      <c r="F120" s="9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0.199999999999999" customHeight="1" x14ac:dyDescent="0.25">
      <c r="A121" s="7"/>
      <c r="B121" s="8"/>
      <c r="C121" s="9"/>
      <c r="D121" s="9"/>
      <c r="E121" s="9"/>
      <c r="F121" s="9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0.199999999999999" customHeight="1" x14ac:dyDescent="0.25">
      <c r="A122" s="7"/>
      <c r="B122" s="8"/>
      <c r="C122" s="9"/>
      <c r="D122" s="9"/>
      <c r="E122" s="9"/>
      <c r="F122" s="9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0.199999999999999" customHeight="1" x14ac:dyDescent="0.25">
      <c r="A123" s="7"/>
      <c r="B123" s="8"/>
      <c r="C123" s="9"/>
      <c r="D123" s="9"/>
      <c r="E123" s="9"/>
      <c r="F123" s="9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0.199999999999999" customHeight="1" x14ac:dyDescent="0.25">
      <c r="A124" s="7"/>
      <c r="B124" s="8"/>
      <c r="C124" s="9"/>
      <c r="D124" s="9"/>
      <c r="E124" s="9"/>
      <c r="F124" s="9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0.199999999999999" customHeight="1" x14ac:dyDescent="0.25">
      <c r="A125" s="7"/>
      <c r="B125" s="8"/>
      <c r="C125" s="9"/>
      <c r="D125" s="9"/>
      <c r="E125" s="9"/>
      <c r="F125" s="9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0.199999999999999" customHeight="1" x14ac:dyDescent="0.25">
      <c r="A126" s="7"/>
      <c r="B126" s="8"/>
      <c r="C126" s="9"/>
      <c r="D126" s="9"/>
      <c r="E126" s="9"/>
      <c r="F126" s="9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0.199999999999999" customHeight="1" x14ac:dyDescent="0.25">
      <c r="A127" s="7"/>
      <c r="B127" s="8"/>
      <c r="C127" s="9"/>
      <c r="D127" s="9"/>
      <c r="E127" s="9"/>
      <c r="F127" s="9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0.199999999999999" customHeight="1" x14ac:dyDescent="0.25">
      <c r="A128" s="7"/>
      <c r="B128" s="8"/>
      <c r="C128" s="9"/>
      <c r="D128" s="9"/>
      <c r="E128" s="9"/>
      <c r="F128" s="9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0.199999999999999" customHeight="1" x14ac:dyDescent="0.25">
      <c r="A129" s="7"/>
      <c r="B129" s="8"/>
      <c r="C129" s="9"/>
      <c r="D129" s="9"/>
      <c r="E129" s="9"/>
      <c r="F129" s="9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0.199999999999999" customHeight="1" x14ac:dyDescent="0.25">
      <c r="A130" s="7"/>
      <c r="B130" s="8"/>
      <c r="C130" s="9"/>
      <c r="D130" s="9"/>
      <c r="E130" s="9"/>
      <c r="F130" s="9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0.199999999999999" customHeight="1" x14ac:dyDescent="0.25">
      <c r="A131" s="7"/>
      <c r="B131" s="8"/>
      <c r="C131" s="9"/>
      <c r="D131" s="9"/>
      <c r="E131" s="9"/>
      <c r="F131" s="9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0.199999999999999" customHeight="1" x14ac:dyDescent="0.25">
      <c r="A132" s="7"/>
      <c r="B132" s="8"/>
      <c r="C132" s="9"/>
      <c r="D132" s="9"/>
      <c r="E132" s="9"/>
      <c r="F132" s="9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0.199999999999999" customHeight="1" x14ac:dyDescent="0.25">
      <c r="A133" s="7"/>
      <c r="B133" s="8"/>
      <c r="C133" s="9"/>
      <c r="D133" s="9"/>
      <c r="E133" s="9"/>
      <c r="F133" s="9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0.199999999999999" customHeight="1" x14ac:dyDescent="0.25">
      <c r="A134" s="7"/>
      <c r="B134" s="8"/>
      <c r="C134" s="9"/>
      <c r="D134" s="9"/>
      <c r="E134" s="9"/>
      <c r="F134" s="9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0.199999999999999" customHeight="1" x14ac:dyDescent="0.25">
      <c r="A135" s="7"/>
      <c r="B135" s="8"/>
      <c r="C135" s="9"/>
      <c r="D135" s="9"/>
      <c r="E135" s="9"/>
      <c r="F135" s="9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0.199999999999999" customHeight="1" x14ac:dyDescent="0.25">
      <c r="A136" s="7"/>
      <c r="B136" s="8"/>
      <c r="C136" s="9"/>
      <c r="D136" s="9"/>
      <c r="E136" s="9"/>
      <c r="F136" s="9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0.199999999999999" customHeight="1" x14ac:dyDescent="0.25">
      <c r="A137" s="7"/>
      <c r="B137" s="8"/>
      <c r="C137" s="9"/>
      <c r="D137" s="9"/>
      <c r="E137" s="9"/>
      <c r="F137" s="9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0.199999999999999" customHeight="1" x14ac:dyDescent="0.25">
      <c r="A138" s="7"/>
      <c r="B138" s="8"/>
      <c r="C138" s="9"/>
      <c r="D138" s="9"/>
      <c r="E138" s="9"/>
      <c r="F138" s="9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0.199999999999999" customHeight="1" x14ac:dyDescent="0.25">
      <c r="A139" s="7"/>
      <c r="B139" s="8"/>
      <c r="C139" s="9"/>
      <c r="D139" s="9"/>
      <c r="E139" s="9"/>
      <c r="F139" s="9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0.199999999999999" customHeight="1" x14ac:dyDescent="0.25">
      <c r="A140" s="7"/>
      <c r="B140" s="8"/>
      <c r="C140" s="9"/>
      <c r="D140" s="9"/>
      <c r="E140" s="9"/>
      <c r="F140" s="9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0.199999999999999" customHeight="1" x14ac:dyDescent="0.25">
      <c r="A141" s="7"/>
      <c r="B141" s="8"/>
      <c r="C141" s="9"/>
      <c r="D141" s="9"/>
      <c r="E141" s="9"/>
      <c r="F141" s="9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0.199999999999999" customHeight="1" x14ac:dyDescent="0.25">
      <c r="A142" s="7"/>
      <c r="B142" s="8"/>
      <c r="C142" s="9"/>
      <c r="D142" s="9"/>
      <c r="E142" s="9"/>
      <c r="F142" s="9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0.199999999999999" customHeight="1" x14ac:dyDescent="0.25">
      <c r="A143" s="7"/>
      <c r="B143" s="8"/>
      <c r="C143" s="9"/>
      <c r="D143" s="9"/>
      <c r="E143" s="9"/>
      <c r="F143" s="9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0.199999999999999" customHeight="1" x14ac:dyDescent="0.25">
      <c r="A144" s="7"/>
      <c r="B144" s="8"/>
      <c r="C144" s="9"/>
      <c r="D144" s="9"/>
      <c r="E144" s="9"/>
      <c r="F144" s="9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0.199999999999999" customHeight="1" x14ac:dyDescent="0.25">
      <c r="A145" s="7"/>
      <c r="B145" s="8"/>
      <c r="C145" s="9"/>
      <c r="D145" s="9"/>
      <c r="E145" s="9"/>
      <c r="F145" s="9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0.199999999999999" customHeight="1" x14ac:dyDescent="0.25">
      <c r="A146" s="7"/>
      <c r="B146" s="8"/>
      <c r="C146" s="9"/>
      <c r="D146" s="9"/>
      <c r="E146" s="9"/>
      <c r="F146" s="9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0.199999999999999" customHeight="1" x14ac:dyDescent="0.25">
      <c r="A147" s="7"/>
      <c r="B147" s="8"/>
      <c r="C147" s="9"/>
      <c r="D147" s="9"/>
      <c r="E147" s="9"/>
      <c r="F147" s="9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0.199999999999999" customHeight="1" x14ac:dyDescent="0.25">
      <c r="A148" s="7"/>
      <c r="B148" s="8"/>
      <c r="C148" s="9"/>
      <c r="D148" s="9"/>
      <c r="E148" s="9"/>
      <c r="F148" s="9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0.199999999999999" customHeight="1" x14ac:dyDescent="0.25">
      <c r="A149" s="7"/>
      <c r="B149" s="8"/>
      <c r="C149" s="9"/>
      <c r="D149" s="9"/>
      <c r="E149" s="9"/>
      <c r="F149" s="9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0.199999999999999" customHeight="1" x14ac:dyDescent="0.25">
      <c r="A150" s="7"/>
      <c r="B150" s="8"/>
      <c r="C150" s="9"/>
      <c r="D150" s="9"/>
      <c r="E150" s="9"/>
      <c r="F150" s="9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0.199999999999999" customHeight="1" x14ac:dyDescent="0.25">
      <c r="A151" s="7"/>
      <c r="B151" s="8"/>
      <c r="C151" s="9"/>
      <c r="D151" s="9"/>
      <c r="E151" s="9"/>
      <c r="F151" s="9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0.199999999999999" customHeight="1" x14ac:dyDescent="0.25">
      <c r="A152" s="7"/>
      <c r="B152" s="8"/>
      <c r="C152" s="9"/>
      <c r="D152" s="9"/>
      <c r="E152" s="9"/>
      <c r="F152" s="9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0.199999999999999" customHeight="1" x14ac:dyDescent="0.25">
      <c r="A153" s="7"/>
      <c r="B153" s="8"/>
      <c r="C153" s="9"/>
      <c r="D153" s="9"/>
      <c r="E153" s="9"/>
      <c r="F153" s="9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0.199999999999999" customHeight="1" x14ac:dyDescent="0.25">
      <c r="A154" s="7"/>
      <c r="B154" s="8"/>
      <c r="C154" s="9"/>
      <c r="D154" s="9"/>
      <c r="E154" s="9"/>
      <c r="F154" s="9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0.199999999999999" customHeight="1" x14ac:dyDescent="0.25">
      <c r="A155" s="7"/>
      <c r="B155" s="8"/>
      <c r="C155" s="9"/>
      <c r="D155" s="9"/>
      <c r="E155" s="9"/>
      <c r="F155" s="9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0.199999999999999" customHeight="1" x14ac:dyDescent="0.25">
      <c r="A156" s="7"/>
      <c r="B156" s="8"/>
      <c r="C156" s="9"/>
      <c r="D156" s="9"/>
      <c r="E156" s="9"/>
      <c r="F156" s="9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0.199999999999999" customHeight="1" x14ac:dyDescent="0.25">
      <c r="A157" s="7"/>
      <c r="B157" s="8"/>
      <c r="C157" s="9"/>
      <c r="D157" s="9"/>
      <c r="E157" s="9"/>
      <c r="F157" s="9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0.199999999999999" customHeight="1" x14ac:dyDescent="0.25">
      <c r="A158" s="7"/>
      <c r="B158" s="8"/>
      <c r="C158" s="9"/>
      <c r="D158" s="9"/>
      <c r="E158" s="9"/>
      <c r="F158" s="9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0.199999999999999" customHeight="1" x14ac:dyDescent="0.25">
      <c r="A159" s="7"/>
      <c r="B159" s="8"/>
      <c r="C159" s="9"/>
      <c r="D159" s="9"/>
      <c r="E159" s="9"/>
      <c r="F159" s="9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0.199999999999999" customHeight="1" x14ac:dyDescent="0.25">
      <c r="A160" s="7"/>
      <c r="B160" s="8"/>
      <c r="C160" s="9"/>
      <c r="D160" s="9"/>
      <c r="E160" s="9"/>
      <c r="F160" s="9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0.199999999999999" customHeight="1" x14ac:dyDescent="0.25">
      <c r="A161" s="7"/>
      <c r="B161" s="8"/>
      <c r="C161" s="9"/>
      <c r="D161" s="9"/>
      <c r="E161" s="9"/>
      <c r="F161" s="9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0.199999999999999" customHeight="1" x14ac:dyDescent="0.25">
      <c r="A162" s="7"/>
      <c r="B162" s="8"/>
      <c r="C162" s="9"/>
      <c r="D162" s="9"/>
      <c r="E162" s="9"/>
      <c r="F162" s="9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0.199999999999999" customHeight="1" x14ac:dyDescent="0.25">
      <c r="A163" s="7"/>
      <c r="B163" s="8"/>
      <c r="C163" s="9"/>
      <c r="D163" s="9"/>
      <c r="E163" s="9"/>
      <c r="F163" s="9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0.199999999999999" customHeight="1" x14ac:dyDescent="0.25">
      <c r="A164" s="7"/>
      <c r="B164" s="8"/>
      <c r="C164" s="9"/>
      <c r="D164" s="9"/>
      <c r="E164" s="9"/>
      <c r="F164" s="9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0.199999999999999" customHeight="1" x14ac:dyDescent="0.25">
      <c r="A165" s="7"/>
      <c r="B165" s="8"/>
      <c r="C165" s="9"/>
      <c r="D165" s="9"/>
      <c r="E165" s="9"/>
      <c r="F165" s="9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0.199999999999999" customHeight="1" x14ac:dyDescent="0.25">
      <c r="A166" s="7"/>
      <c r="B166" s="8"/>
      <c r="C166" s="9"/>
      <c r="D166" s="9"/>
      <c r="E166" s="9"/>
      <c r="F166" s="9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0.199999999999999" customHeight="1" x14ac:dyDescent="0.25">
      <c r="A167" s="7"/>
      <c r="B167" s="8"/>
      <c r="C167" s="9"/>
      <c r="D167" s="9"/>
      <c r="E167" s="9"/>
      <c r="F167" s="9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0.199999999999999" customHeight="1" x14ac:dyDescent="0.25">
      <c r="A168" s="7"/>
      <c r="B168" s="8"/>
      <c r="C168" s="9"/>
      <c r="D168" s="9"/>
      <c r="E168" s="9"/>
      <c r="F168" s="9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0.199999999999999" customHeight="1" x14ac:dyDescent="0.25">
      <c r="A169" s="7"/>
      <c r="B169" s="8"/>
      <c r="C169" s="9"/>
      <c r="D169" s="9"/>
      <c r="E169" s="9"/>
      <c r="F169" s="9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0.199999999999999" customHeight="1" x14ac:dyDescent="0.25">
      <c r="A170" s="7"/>
      <c r="B170" s="8"/>
      <c r="C170" s="9"/>
      <c r="D170" s="9"/>
      <c r="E170" s="9"/>
      <c r="F170" s="9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0.199999999999999" customHeight="1" x14ac:dyDescent="0.25">
      <c r="A171" s="7"/>
      <c r="B171" s="8"/>
      <c r="C171" s="9"/>
      <c r="D171" s="9"/>
      <c r="E171" s="9"/>
      <c r="F171" s="9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0.199999999999999" customHeight="1" x14ac:dyDescent="0.25">
      <c r="A172" s="7"/>
      <c r="B172" s="8"/>
      <c r="C172" s="9"/>
      <c r="D172" s="9"/>
      <c r="E172" s="9"/>
      <c r="F172" s="9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0.199999999999999" customHeight="1" x14ac:dyDescent="0.25">
      <c r="A173" s="7"/>
      <c r="B173" s="8"/>
      <c r="C173" s="9"/>
      <c r="D173" s="9"/>
      <c r="E173" s="9"/>
      <c r="F173" s="9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0.199999999999999" customHeight="1" x14ac:dyDescent="0.25">
      <c r="A174" s="7"/>
      <c r="B174" s="8"/>
      <c r="C174" s="9"/>
      <c r="D174" s="9"/>
      <c r="E174" s="9"/>
      <c r="F174" s="9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0.199999999999999" customHeight="1" x14ac:dyDescent="0.25">
      <c r="A175" s="7"/>
      <c r="B175" s="8"/>
      <c r="C175" s="9"/>
      <c r="D175" s="9"/>
      <c r="E175" s="9"/>
      <c r="F175" s="9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0.199999999999999" customHeight="1" x14ac:dyDescent="0.25">
      <c r="A176" s="7"/>
      <c r="B176" s="8"/>
      <c r="C176" s="9"/>
      <c r="D176" s="9"/>
      <c r="E176" s="9"/>
      <c r="F176" s="9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0.199999999999999" customHeight="1" x14ac:dyDescent="0.25">
      <c r="A177" s="7"/>
      <c r="B177" s="8"/>
      <c r="C177" s="9"/>
      <c r="D177" s="9"/>
      <c r="E177" s="9"/>
      <c r="F177" s="9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0.199999999999999" customHeight="1" x14ac:dyDescent="0.25">
      <c r="A178" s="7"/>
      <c r="B178" s="8"/>
      <c r="C178" s="9"/>
      <c r="D178" s="9"/>
      <c r="E178" s="9"/>
      <c r="F178" s="9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0.199999999999999" customHeight="1" x14ac:dyDescent="0.25">
      <c r="A179" s="7"/>
      <c r="B179" s="8"/>
      <c r="C179" s="9"/>
      <c r="D179" s="9"/>
      <c r="E179" s="9"/>
      <c r="F179" s="9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0.199999999999999" customHeight="1" x14ac:dyDescent="0.25">
      <c r="A180" s="7"/>
      <c r="B180" s="8"/>
      <c r="C180" s="9"/>
      <c r="D180" s="9"/>
      <c r="E180" s="9"/>
      <c r="F180" s="9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0.199999999999999" customHeight="1" x14ac:dyDescent="0.25">
      <c r="A181" s="7"/>
      <c r="B181" s="8"/>
      <c r="C181" s="9"/>
      <c r="D181" s="9"/>
      <c r="E181" s="9"/>
      <c r="F181" s="9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0.199999999999999" customHeight="1" x14ac:dyDescent="0.25">
      <c r="A182" s="7"/>
      <c r="B182" s="8"/>
      <c r="C182" s="9"/>
      <c r="D182" s="9"/>
      <c r="E182" s="9"/>
      <c r="F182" s="9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0.199999999999999" customHeight="1" x14ac:dyDescent="0.25">
      <c r="A183" s="7"/>
      <c r="B183" s="8"/>
      <c r="C183" s="9"/>
      <c r="D183" s="9"/>
      <c r="E183" s="9"/>
      <c r="F183" s="9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0.199999999999999" customHeight="1" x14ac:dyDescent="0.25">
      <c r="A184" s="7"/>
      <c r="B184" s="8"/>
      <c r="C184" s="9"/>
      <c r="D184" s="9"/>
      <c r="E184" s="9"/>
      <c r="F184" s="9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0.199999999999999" customHeight="1" x14ac:dyDescent="0.25">
      <c r="A185" s="7"/>
      <c r="B185" s="8"/>
      <c r="C185" s="9"/>
      <c r="D185" s="9"/>
      <c r="E185" s="9"/>
      <c r="F185" s="9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0.199999999999999" customHeight="1" x14ac:dyDescent="0.25">
      <c r="A186" s="7"/>
      <c r="B186" s="8"/>
      <c r="C186" s="9"/>
      <c r="D186" s="9"/>
      <c r="E186" s="9"/>
      <c r="F186" s="9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0.199999999999999" customHeight="1" x14ac:dyDescent="0.25">
      <c r="A187" s="7"/>
      <c r="B187" s="8"/>
      <c r="C187" s="9"/>
      <c r="D187" s="9"/>
      <c r="E187" s="9"/>
      <c r="F187" s="9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0.199999999999999" customHeight="1" x14ac:dyDescent="0.25">
      <c r="A188" s="7"/>
      <c r="B188" s="8"/>
      <c r="C188" s="9"/>
      <c r="D188" s="9"/>
      <c r="E188" s="9"/>
      <c r="F188" s="9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0.199999999999999" customHeight="1" x14ac:dyDescent="0.25">
      <c r="A189" s="7"/>
      <c r="B189" s="8"/>
      <c r="C189" s="9"/>
      <c r="D189" s="9"/>
      <c r="E189" s="9"/>
      <c r="F189" s="9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0.199999999999999" customHeight="1" x14ac:dyDescent="0.25">
      <c r="A190" s="7"/>
      <c r="B190" s="8"/>
      <c r="C190" s="9"/>
      <c r="D190" s="9"/>
      <c r="E190" s="9"/>
      <c r="F190" s="9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0.199999999999999" customHeight="1" x14ac:dyDescent="0.25">
      <c r="A191" s="7"/>
      <c r="B191" s="8"/>
      <c r="C191" s="9"/>
      <c r="D191" s="9"/>
      <c r="E191" s="9"/>
      <c r="F191" s="9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0.199999999999999" customHeight="1" x14ac:dyDescent="0.25">
      <c r="A192" s="7"/>
      <c r="B192" s="8"/>
      <c r="C192" s="9"/>
      <c r="D192" s="9"/>
      <c r="E192" s="9"/>
      <c r="F192" s="9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0.199999999999999" customHeight="1" x14ac:dyDescent="0.25">
      <c r="A193" s="7"/>
      <c r="B193" s="8"/>
      <c r="C193" s="9"/>
      <c r="D193" s="9"/>
      <c r="E193" s="9"/>
      <c r="F193" s="9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0.199999999999999" customHeight="1" x14ac:dyDescent="0.25">
      <c r="A194" s="7"/>
      <c r="B194" s="8"/>
      <c r="C194" s="9"/>
      <c r="D194" s="9"/>
      <c r="E194" s="9"/>
      <c r="F194" s="9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0.199999999999999" customHeight="1" x14ac:dyDescent="0.25">
      <c r="A195" s="7"/>
      <c r="B195" s="8"/>
      <c r="C195" s="9"/>
      <c r="D195" s="9"/>
      <c r="E195" s="9"/>
      <c r="F195" s="9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0.199999999999999" customHeight="1" x14ac:dyDescent="0.25">
      <c r="A196" s="7"/>
      <c r="B196" s="8"/>
      <c r="C196" s="9"/>
      <c r="D196" s="9"/>
      <c r="E196" s="9"/>
      <c r="F196" s="9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0.199999999999999" customHeight="1" x14ac:dyDescent="0.25">
      <c r="A197" s="7"/>
      <c r="B197" s="8"/>
      <c r="C197" s="9"/>
      <c r="D197" s="9"/>
      <c r="E197" s="9"/>
      <c r="F197" s="9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0.199999999999999" customHeight="1" x14ac:dyDescent="0.25">
      <c r="A198" s="7"/>
      <c r="B198" s="8"/>
      <c r="C198" s="9"/>
      <c r="D198" s="9"/>
      <c r="E198" s="9"/>
      <c r="F198" s="9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0.199999999999999" customHeight="1" x14ac:dyDescent="0.25">
      <c r="A199" s="7"/>
      <c r="B199" s="8"/>
      <c r="C199" s="9"/>
      <c r="D199" s="9"/>
      <c r="E199" s="9"/>
      <c r="F199" s="9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0.199999999999999" customHeight="1" x14ac:dyDescent="0.25">
      <c r="A200" s="7"/>
      <c r="B200" s="8"/>
      <c r="C200" s="9"/>
      <c r="D200" s="9"/>
      <c r="E200" s="9"/>
      <c r="F200" s="9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0.199999999999999" customHeight="1" x14ac:dyDescent="0.25">
      <c r="A201" s="7"/>
      <c r="B201" s="8"/>
      <c r="C201" s="9"/>
      <c r="D201" s="9"/>
      <c r="E201" s="9"/>
      <c r="F201" s="9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0.199999999999999" customHeight="1" x14ac:dyDescent="0.25">
      <c r="A202" s="7"/>
      <c r="B202" s="8"/>
      <c r="C202" s="9"/>
      <c r="D202" s="9"/>
      <c r="E202" s="9"/>
      <c r="F202" s="9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0.199999999999999" customHeight="1" x14ac:dyDescent="0.25">
      <c r="A203" s="7"/>
      <c r="B203" s="8"/>
      <c r="C203" s="9"/>
      <c r="D203" s="9"/>
      <c r="E203" s="9"/>
      <c r="F203" s="9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0.199999999999999" customHeight="1" x14ac:dyDescent="0.25">
      <c r="A204" s="7"/>
      <c r="B204" s="8"/>
      <c r="C204" s="9"/>
      <c r="D204" s="9"/>
      <c r="E204" s="9"/>
      <c r="F204" s="9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0.199999999999999" customHeight="1" x14ac:dyDescent="0.25">
      <c r="A205" s="7"/>
      <c r="B205" s="8"/>
      <c r="C205" s="9"/>
      <c r="D205" s="9"/>
      <c r="E205" s="9"/>
      <c r="F205" s="9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0.199999999999999" customHeight="1" x14ac:dyDescent="0.25">
      <c r="A206" s="7"/>
      <c r="B206" s="8"/>
      <c r="C206" s="9"/>
      <c r="D206" s="9"/>
      <c r="E206" s="9"/>
      <c r="F206" s="9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0.199999999999999" customHeight="1" x14ac:dyDescent="0.25">
      <c r="A207" s="7"/>
      <c r="B207" s="8"/>
      <c r="C207" s="9"/>
      <c r="D207" s="9"/>
      <c r="E207" s="9"/>
      <c r="F207" s="9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0.199999999999999" customHeight="1" x14ac:dyDescent="0.25">
      <c r="A208" s="7"/>
      <c r="B208" s="8"/>
      <c r="C208" s="9"/>
      <c r="D208" s="9"/>
      <c r="E208" s="9"/>
      <c r="F208" s="9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0.199999999999999" customHeight="1" x14ac:dyDescent="0.25">
      <c r="A209" s="7"/>
      <c r="B209" s="8"/>
      <c r="C209" s="9"/>
      <c r="D209" s="9"/>
      <c r="E209" s="9"/>
      <c r="F209" s="9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0.199999999999999" customHeight="1" x14ac:dyDescent="0.25">
      <c r="A210" s="7"/>
      <c r="B210" s="8"/>
      <c r="C210" s="9"/>
      <c r="D210" s="9"/>
      <c r="E210" s="9"/>
      <c r="F210" s="9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0.199999999999999" customHeight="1" x14ac:dyDescent="0.25">
      <c r="A211" s="7"/>
      <c r="B211" s="8"/>
      <c r="C211" s="9"/>
      <c r="D211" s="9"/>
      <c r="E211" s="9"/>
      <c r="F211" s="9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0.199999999999999" customHeight="1" x14ac:dyDescent="0.25">
      <c r="A212" s="7"/>
      <c r="B212" s="8"/>
      <c r="C212" s="9"/>
      <c r="D212" s="9"/>
      <c r="E212" s="9"/>
      <c r="F212" s="9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0.199999999999999" customHeight="1" x14ac:dyDescent="0.25">
      <c r="A213" s="7"/>
      <c r="B213" s="8"/>
      <c r="C213" s="9"/>
      <c r="D213" s="9"/>
      <c r="E213" s="9"/>
      <c r="F213" s="9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0.199999999999999" customHeight="1" x14ac:dyDescent="0.25">
      <c r="A214" s="7"/>
      <c r="B214" s="8"/>
      <c r="C214" s="9"/>
      <c r="D214" s="9"/>
      <c r="E214" s="9"/>
      <c r="F214" s="9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0.199999999999999" customHeight="1" x14ac:dyDescent="0.25">
      <c r="A215" s="7"/>
      <c r="B215" s="8"/>
      <c r="C215" s="9"/>
      <c r="D215" s="9"/>
      <c r="E215" s="9"/>
      <c r="F215" s="9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0.199999999999999" customHeight="1" x14ac:dyDescent="0.25">
      <c r="A216" s="7"/>
      <c r="B216" s="8"/>
      <c r="C216" s="9"/>
      <c r="D216" s="9"/>
      <c r="E216" s="9"/>
      <c r="F216" s="9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0.199999999999999" customHeight="1" x14ac:dyDescent="0.25">
      <c r="A217" s="7"/>
      <c r="B217" s="8"/>
      <c r="C217" s="9"/>
      <c r="D217" s="9"/>
      <c r="E217" s="9"/>
      <c r="F217" s="9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0.199999999999999" customHeight="1" x14ac:dyDescent="0.25">
      <c r="A218" s="7"/>
      <c r="B218" s="8"/>
      <c r="C218" s="9"/>
      <c r="D218" s="9"/>
      <c r="E218" s="9"/>
      <c r="F218" s="9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0.199999999999999" customHeight="1" x14ac:dyDescent="0.25">
      <c r="A219" s="7"/>
      <c r="B219" s="8"/>
      <c r="C219" s="9"/>
      <c r="D219" s="9"/>
      <c r="E219" s="9"/>
      <c r="F219" s="9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0.199999999999999" customHeight="1" x14ac:dyDescent="0.25">
      <c r="A220" s="7"/>
      <c r="B220" s="8"/>
      <c r="C220" s="9"/>
      <c r="D220" s="9"/>
      <c r="E220" s="9"/>
      <c r="F220" s="9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0.199999999999999" customHeight="1" x14ac:dyDescent="0.25">
      <c r="A221" s="7"/>
      <c r="B221" s="8"/>
      <c r="C221" s="9"/>
      <c r="D221" s="9"/>
      <c r="E221" s="9"/>
      <c r="F221" s="9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0.199999999999999" customHeight="1" x14ac:dyDescent="0.25">
      <c r="A222" s="7"/>
      <c r="B222" s="8"/>
      <c r="C222" s="9"/>
      <c r="D222" s="9"/>
      <c r="E222" s="9"/>
      <c r="F222" s="9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0.199999999999999" customHeight="1" x14ac:dyDescent="0.25">
      <c r="A223" s="7"/>
      <c r="B223" s="8"/>
      <c r="C223" s="9"/>
      <c r="D223" s="9"/>
      <c r="E223" s="9"/>
      <c r="F223" s="9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0.199999999999999" customHeight="1" x14ac:dyDescent="0.25">
      <c r="A224" s="7"/>
      <c r="B224" s="8"/>
      <c r="C224" s="9"/>
      <c r="D224" s="9"/>
      <c r="E224" s="9"/>
      <c r="F224" s="9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0.199999999999999" customHeight="1" x14ac:dyDescent="0.25">
      <c r="A225" s="7"/>
      <c r="B225" s="8"/>
      <c r="C225" s="9"/>
      <c r="D225" s="9"/>
      <c r="E225" s="9"/>
      <c r="F225" s="9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0.199999999999999" customHeight="1" x14ac:dyDescent="0.25">
      <c r="A226" s="7"/>
      <c r="B226" s="8"/>
      <c r="C226" s="9"/>
      <c r="D226" s="9"/>
      <c r="E226" s="9"/>
      <c r="F226" s="9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0.199999999999999" customHeight="1" x14ac:dyDescent="0.25">
      <c r="A227" s="7"/>
      <c r="B227" s="8"/>
      <c r="C227" s="9"/>
      <c r="D227" s="9"/>
      <c r="E227" s="9"/>
      <c r="F227" s="9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0.199999999999999" customHeight="1" x14ac:dyDescent="0.25">
      <c r="A228" s="7"/>
      <c r="B228" s="8"/>
      <c r="C228" s="9"/>
      <c r="D228" s="9"/>
      <c r="E228" s="9"/>
      <c r="F228" s="9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0.199999999999999" customHeight="1" x14ac:dyDescent="0.25">
      <c r="A229" s="7"/>
      <c r="B229" s="8"/>
      <c r="C229" s="9"/>
      <c r="D229" s="9"/>
      <c r="E229" s="9"/>
      <c r="F229" s="9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0.199999999999999" customHeight="1" x14ac:dyDescent="0.25">
      <c r="A230" s="7"/>
      <c r="B230" s="8"/>
      <c r="C230" s="9"/>
      <c r="D230" s="9"/>
      <c r="E230" s="9"/>
      <c r="F230" s="9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0.199999999999999" customHeight="1" x14ac:dyDescent="0.25">
      <c r="A231" s="7"/>
      <c r="B231" s="8"/>
      <c r="C231" s="9"/>
      <c r="D231" s="9"/>
      <c r="E231" s="9"/>
      <c r="F231" s="9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0.199999999999999" customHeight="1" x14ac:dyDescent="0.25">
      <c r="A232" s="7"/>
      <c r="B232" s="8"/>
      <c r="C232" s="9"/>
      <c r="D232" s="9"/>
      <c r="E232" s="9"/>
      <c r="F232" s="9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0.199999999999999" customHeight="1" x14ac:dyDescent="0.25">
      <c r="A233" s="7"/>
      <c r="B233" s="8"/>
      <c r="C233" s="9"/>
      <c r="D233" s="9"/>
      <c r="E233" s="9"/>
      <c r="F233" s="9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0.199999999999999" customHeight="1" x14ac:dyDescent="0.25">
      <c r="A234" s="7"/>
      <c r="B234" s="8"/>
      <c r="C234" s="9"/>
      <c r="D234" s="9"/>
      <c r="E234" s="9"/>
      <c r="F234" s="9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0.199999999999999" customHeight="1" x14ac:dyDescent="0.25">
      <c r="A235" s="7"/>
      <c r="B235" s="8"/>
      <c r="C235" s="9"/>
      <c r="D235" s="9"/>
      <c r="E235" s="9"/>
      <c r="F235" s="9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0.199999999999999" customHeight="1" x14ac:dyDescent="0.25">
      <c r="A236" s="7"/>
      <c r="B236" s="8"/>
      <c r="C236" s="9"/>
      <c r="D236" s="9"/>
      <c r="E236" s="9"/>
      <c r="F236" s="9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0.199999999999999" customHeight="1" x14ac:dyDescent="0.25">
      <c r="A237" s="7"/>
      <c r="B237" s="8"/>
      <c r="C237" s="9"/>
      <c r="D237" s="9"/>
      <c r="E237" s="9"/>
      <c r="F237" s="9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0.199999999999999" customHeight="1" x14ac:dyDescent="0.25">
      <c r="A238" s="7"/>
      <c r="B238" s="8"/>
      <c r="C238" s="9"/>
      <c r="D238" s="9"/>
      <c r="E238" s="9"/>
      <c r="F238" s="9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0.199999999999999" customHeight="1" x14ac:dyDescent="0.25">
      <c r="A239" s="7"/>
      <c r="B239" s="8"/>
      <c r="C239" s="9"/>
      <c r="D239" s="9"/>
      <c r="E239" s="9"/>
      <c r="F239" s="9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0.199999999999999" customHeight="1" x14ac:dyDescent="0.25">
      <c r="A240" s="7"/>
      <c r="B240" s="8"/>
      <c r="C240" s="9"/>
      <c r="D240" s="9"/>
      <c r="E240" s="9"/>
      <c r="F240" s="9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0.199999999999999" customHeight="1" x14ac:dyDescent="0.25">
      <c r="A241" s="7"/>
      <c r="B241" s="8"/>
      <c r="C241" s="9"/>
      <c r="D241" s="9"/>
      <c r="E241" s="9"/>
      <c r="F241" s="9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0.199999999999999" customHeight="1" x14ac:dyDescent="0.25">
      <c r="A242" s="7"/>
      <c r="B242" s="8"/>
      <c r="C242" s="9"/>
      <c r="D242" s="9"/>
      <c r="E242" s="9"/>
      <c r="F242" s="9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0.199999999999999" customHeight="1" x14ac:dyDescent="0.25">
      <c r="A243" s="7"/>
      <c r="B243" s="8"/>
      <c r="C243" s="9"/>
      <c r="D243" s="9"/>
      <c r="E243" s="9"/>
      <c r="F243" s="9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0.199999999999999" customHeight="1" x14ac:dyDescent="0.25">
      <c r="A244" s="7"/>
      <c r="B244" s="8"/>
      <c r="C244" s="9"/>
      <c r="D244" s="9"/>
      <c r="E244" s="9"/>
      <c r="F244" s="9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0.199999999999999" customHeight="1" x14ac:dyDescent="0.25">
      <c r="A245" s="7"/>
      <c r="B245" s="8"/>
      <c r="C245" s="9"/>
      <c r="D245" s="9"/>
      <c r="E245" s="9"/>
      <c r="F245" s="9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0.199999999999999" customHeight="1" x14ac:dyDescent="0.25">
      <c r="A246" s="7"/>
      <c r="B246" s="8"/>
      <c r="C246" s="9"/>
      <c r="D246" s="9"/>
      <c r="E246" s="9"/>
      <c r="F246" s="9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0.199999999999999" customHeight="1" x14ac:dyDescent="0.25">
      <c r="A247" s="7"/>
      <c r="B247" s="8"/>
      <c r="C247" s="9"/>
      <c r="D247" s="9"/>
      <c r="E247" s="9"/>
      <c r="F247" s="9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0.199999999999999" customHeight="1" x14ac:dyDescent="0.25">
      <c r="A248" s="7"/>
      <c r="B248" s="8"/>
      <c r="C248" s="9"/>
      <c r="D248" s="9"/>
      <c r="E248" s="9"/>
      <c r="F248" s="9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0.199999999999999" customHeight="1" x14ac:dyDescent="0.25">
      <c r="A249" s="7"/>
      <c r="B249" s="8"/>
      <c r="C249" s="9"/>
      <c r="D249" s="9"/>
      <c r="E249" s="9"/>
      <c r="F249" s="9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0.199999999999999" customHeight="1" x14ac:dyDescent="0.25">
      <c r="A250" s="7"/>
      <c r="B250" s="8"/>
      <c r="C250" s="9"/>
      <c r="D250" s="9"/>
      <c r="E250" s="9"/>
      <c r="F250" s="9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0.199999999999999" customHeight="1" x14ac:dyDescent="0.25">
      <c r="A251" s="7"/>
      <c r="B251" s="8"/>
      <c r="C251" s="9"/>
      <c r="D251" s="9"/>
      <c r="E251" s="9"/>
      <c r="F251" s="9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0.199999999999999" customHeight="1" x14ac:dyDescent="0.25">
      <c r="A252" s="7"/>
      <c r="B252" s="8"/>
      <c r="C252" s="9"/>
      <c r="D252" s="9"/>
      <c r="E252" s="9"/>
      <c r="F252" s="9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0.199999999999999" customHeight="1" x14ac:dyDescent="0.25">
      <c r="A253" s="7"/>
      <c r="B253" s="8"/>
      <c r="C253" s="9"/>
      <c r="D253" s="9"/>
      <c r="E253" s="9"/>
      <c r="F253" s="9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0.199999999999999" customHeight="1" x14ac:dyDescent="0.25">
      <c r="A254" s="7"/>
      <c r="B254" s="8"/>
      <c r="C254" s="9"/>
      <c r="D254" s="9"/>
      <c r="E254" s="9"/>
      <c r="F254" s="9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0.199999999999999" customHeight="1" x14ac:dyDescent="0.25">
      <c r="A255" s="7"/>
      <c r="B255" s="8"/>
      <c r="C255" s="9"/>
      <c r="D255" s="9"/>
      <c r="E255" s="9"/>
      <c r="F255" s="9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0.199999999999999" customHeight="1" x14ac:dyDescent="0.25">
      <c r="A256" s="7"/>
      <c r="B256" s="8"/>
      <c r="C256" s="9"/>
      <c r="D256" s="9"/>
      <c r="E256" s="9"/>
      <c r="F256" s="9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0.199999999999999" customHeight="1" x14ac:dyDescent="0.25">
      <c r="A257" s="7"/>
      <c r="B257" s="8"/>
      <c r="C257" s="9"/>
      <c r="D257" s="9"/>
      <c r="E257" s="9"/>
      <c r="F257" s="9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0.199999999999999" customHeight="1" x14ac:dyDescent="0.25">
      <c r="A258" s="7"/>
      <c r="B258" s="8"/>
      <c r="C258" s="9"/>
      <c r="D258" s="9"/>
      <c r="E258" s="9"/>
      <c r="F258" s="9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0.199999999999999" customHeight="1" x14ac:dyDescent="0.25">
      <c r="A259" s="7"/>
      <c r="B259" s="8"/>
      <c r="C259" s="9"/>
      <c r="D259" s="9"/>
      <c r="E259" s="9"/>
      <c r="F259" s="9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0.199999999999999" customHeight="1" x14ac:dyDescent="0.25">
      <c r="A260" s="7"/>
      <c r="B260" s="8"/>
      <c r="C260" s="9"/>
      <c r="D260" s="9"/>
      <c r="E260" s="9"/>
      <c r="F260" s="9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0.199999999999999" customHeight="1" x14ac:dyDescent="0.25">
      <c r="A261" s="7"/>
      <c r="B261" s="8"/>
      <c r="C261" s="9"/>
      <c r="D261" s="9"/>
      <c r="E261" s="9"/>
      <c r="F261" s="9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0.199999999999999" customHeight="1" x14ac:dyDescent="0.25">
      <c r="A262" s="7"/>
      <c r="B262" s="8"/>
      <c r="C262" s="9"/>
      <c r="D262" s="9"/>
      <c r="E262" s="9"/>
      <c r="F262" s="9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0.199999999999999" customHeight="1" x14ac:dyDescent="0.25">
      <c r="A263" s="7"/>
      <c r="B263" s="8"/>
      <c r="C263" s="9"/>
      <c r="D263" s="9"/>
      <c r="E263" s="9"/>
      <c r="F263" s="9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0.199999999999999" customHeight="1" x14ac:dyDescent="0.25">
      <c r="A264" s="7"/>
      <c r="B264" s="8"/>
      <c r="C264" s="9"/>
      <c r="D264" s="9"/>
      <c r="E264" s="9"/>
      <c r="F264" s="9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0.199999999999999" customHeight="1" x14ac:dyDescent="0.25">
      <c r="A265" s="7"/>
      <c r="B265" s="8"/>
      <c r="C265" s="9"/>
      <c r="D265" s="9"/>
      <c r="E265" s="9"/>
      <c r="F265" s="9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0.199999999999999" customHeight="1" x14ac:dyDescent="0.25">
      <c r="A266" s="7"/>
      <c r="B266" s="8"/>
      <c r="C266" s="9"/>
      <c r="D266" s="9"/>
      <c r="E266" s="9"/>
      <c r="F266" s="9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0.199999999999999" customHeight="1" x14ac:dyDescent="0.25">
      <c r="A267" s="7"/>
      <c r="B267" s="8"/>
      <c r="C267" s="9"/>
      <c r="D267" s="9"/>
      <c r="E267" s="9"/>
      <c r="F267" s="9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0.199999999999999" customHeight="1" x14ac:dyDescent="0.25">
      <c r="A268" s="7"/>
      <c r="B268" s="8"/>
      <c r="C268" s="9"/>
      <c r="D268" s="9"/>
      <c r="E268" s="9"/>
      <c r="F268" s="9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0.199999999999999" customHeight="1" x14ac:dyDescent="0.25">
      <c r="A269" s="7"/>
      <c r="B269" s="8"/>
      <c r="C269" s="9"/>
      <c r="D269" s="9"/>
      <c r="E269" s="9"/>
      <c r="F269" s="9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0.199999999999999" customHeight="1" x14ac:dyDescent="0.25">
      <c r="A270" s="7"/>
      <c r="B270" s="8"/>
      <c r="C270" s="9"/>
      <c r="D270" s="9"/>
      <c r="E270" s="9"/>
      <c r="F270" s="9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0.199999999999999" customHeight="1" x14ac:dyDescent="0.25">
      <c r="A271" s="7"/>
      <c r="B271" s="8"/>
      <c r="C271" s="9"/>
      <c r="D271" s="9"/>
      <c r="E271" s="9"/>
      <c r="F271" s="9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0.199999999999999" customHeight="1" x14ac:dyDescent="0.25">
      <c r="A272" s="7"/>
      <c r="B272" s="8"/>
      <c r="C272" s="9"/>
      <c r="D272" s="9"/>
      <c r="E272" s="9"/>
      <c r="F272" s="9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0.199999999999999" customHeight="1" x14ac:dyDescent="0.25">
      <c r="A273" s="7"/>
      <c r="B273" s="8"/>
      <c r="C273" s="9"/>
      <c r="D273" s="9"/>
      <c r="E273" s="9"/>
      <c r="F273" s="9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0.199999999999999" customHeight="1" x14ac:dyDescent="0.25">
      <c r="A274" s="7"/>
      <c r="B274" s="8"/>
      <c r="C274" s="9"/>
      <c r="D274" s="9"/>
      <c r="E274" s="9"/>
      <c r="F274" s="9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0.199999999999999" customHeight="1" x14ac:dyDescent="0.25">
      <c r="A275" s="7"/>
      <c r="B275" s="8"/>
      <c r="C275" s="9"/>
      <c r="D275" s="9"/>
      <c r="E275" s="9"/>
      <c r="F275" s="9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0.199999999999999" customHeight="1" x14ac:dyDescent="0.25">
      <c r="A276" s="7"/>
      <c r="B276" s="8"/>
      <c r="C276" s="9"/>
      <c r="D276" s="9"/>
      <c r="E276" s="9"/>
      <c r="F276" s="9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0.199999999999999" customHeight="1" x14ac:dyDescent="0.25">
      <c r="A277" s="7"/>
      <c r="B277" s="8"/>
      <c r="C277" s="9"/>
      <c r="D277" s="9"/>
      <c r="E277" s="9"/>
      <c r="F277" s="9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0.199999999999999" customHeight="1" x14ac:dyDescent="0.25">
      <c r="A278" s="7"/>
      <c r="B278" s="8"/>
      <c r="C278" s="9"/>
      <c r="D278" s="9"/>
      <c r="E278" s="9"/>
      <c r="F278" s="9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0.199999999999999" customHeight="1" x14ac:dyDescent="0.25">
      <c r="A279" s="7"/>
      <c r="B279" s="8"/>
      <c r="C279" s="9"/>
      <c r="D279" s="9"/>
      <c r="E279" s="9"/>
      <c r="F279" s="9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0.199999999999999" customHeight="1" x14ac:dyDescent="0.25">
      <c r="A280" s="7"/>
      <c r="B280" s="8"/>
      <c r="C280" s="9"/>
      <c r="D280" s="9"/>
      <c r="E280" s="9"/>
      <c r="F280" s="9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0.199999999999999" customHeight="1" x14ac:dyDescent="0.25">
      <c r="A281" s="7"/>
      <c r="B281" s="8"/>
      <c r="C281" s="9"/>
      <c r="D281" s="9"/>
      <c r="E281" s="9"/>
      <c r="F281" s="9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0.199999999999999" customHeight="1" x14ac:dyDescent="0.25">
      <c r="A282" s="7"/>
      <c r="B282" s="8"/>
      <c r="C282" s="9"/>
      <c r="D282" s="9"/>
      <c r="E282" s="9"/>
      <c r="F282" s="9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0.199999999999999" customHeight="1" x14ac:dyDescent="0.25">
      <c r="A283" s="7"/>
      <c r="B283" s="8"/>
      <c r="C283" s="9"/>
      <c r="D283" s="9"/>
      <c r="E283" s="9"/>
      <c r="F283" s="9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0.199999999999999" customHeight="1" x14ac:dyDescent="0.25">
      <c r="A284" s="7"/>
      <c r="B284" s="8"/>
      <c r="C284" s="9"/>
      <c r="D284" s="9"/>
      <c r="E284" s="9"/>
      <c r="F284" s="9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0.199999999999999" customHeight="1" x14ac:dyDescent="0.25">
      <c r="A285" s="7"/>
      <c r="B285" s="8"/>
      <c r="C285" s="9"/>
      <c r="D285" s="9"/>
      <c r="E285" s="9"/>
      <c r="F285" s="9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0.199999999999999" customHeight="1" x14ac:dyDescent="0.25">
      <c r="A286" s="7"/>
      <c r="B286" s="8"/>
      <c r="C286" s="9"/>
      <c r="D286" s="9"/>
      <c r="E286" s="9"/>
      <c r="F286" s="9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0.199999999999999" customHeight="1" x14ac:dyDescent="0.25">
      <c r="A287" s="7"/>
      <c r="B287" s="8"/>
      <c r="C287" s="9"/>
      <c r="D287" s="9"/>
      <c r="E287" s="9"/>
      <c r="F287" s="9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0.199999999999999" customHeight="1" x14ac:dyDescent="0.25">
      <c r="A288" s="7"/>
      <c r="B288" s="8"/>
      <c r="C288" s="9"/>
      <c r="D288" s="9"/>
      <c r="E288" s="9"/>
      <c r="F288" s="9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0.199999999999999" customHeight="1" x14ac:dyDescent="0.25">
      <c r="A289" s="7"/>
      <c r="B289" s="8"/>
      <c r="C289" s="9"/>
      <c r="D289" s="9"/>
      <c r="E289" s="9"/>
      <c r="F289" s="9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0.199999999999999" customHeight="1" x14ac:dyDescent="0.25">
      <c r="A290" s="7"/>
      <c r="B290" s="8"/>
      <c r="C290" s="9"/>
      <c r="D290" s="9"/>
      <c r="E290" s="9"/>
      <c r="F290" s="9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0.199999999999999" customHeight="1" x14ac:dyDescent="0.25">
      <c r="A291" s="7"/>
      <c r="B291" s="8"/>
      <c r="C291" s="9"/>
      <c r="D291" s="9"/>
      <c r="E291" s="9"/>
      <c r="F291" s="9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0.199999999999999" customHeight="1" x14ac:dyDescent="0.25">
      <c r="A292" s="7"/>
      <c r="B292" s="8"/>
      <c r="C292" s="9"/>
      <c r="D292" s="9"/>
      <c r="E292" s="9"/>
      <c r="F292" s="9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0.199999999999999" customHeight="1" x14ac:dyDescent="0.25">
      <c r="A293" s="7"/>
      <c r="B293" s="8"/>
      <c r="C293" s="9"/>
      <c r="D293" s="9"/>
      <c r="E293" s="9"/>
      <c r="F293" s="9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0.199999999999999" customHeight="1" x14ac:dyDescent="0.25">
      <c r="A294" s="7"/>
      <c r="B294" s="8"/>
      <c r="C294" s="9"/>
      <c r="D294" s="9"/>
      <c r="E294" s="9"/>
      <c r="F294" s="9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0.199999999999999" customHeight="1" x14ac:dyDescent="0.25">
      <c r="A295" s="7"/>
      <c r="B295" s="8"/>
      <c r="C295" s="9"/>
      <c r="D295" s="9"/>
      <c r="E295" s="9"/>
      <c r="F295" s="9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0.199999999999999" customHeight="1" x14ac:dyDescent="0.25">
      <c r="A296" s="7"/>
      <c r="B296" s="8"/>
      <c r="C296" s="9"/>
      <c r="D296" s="9"/>
      <c r="E296" s="9"/>
      <c r="F296" s="9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0.199999999999999" customHeight="1" x14ac:dyDescent="0.25">
      <c r="A297" s="7"/>
      <c r="B297" s="8"/>
      <c r="C297" s="9"/>
      <c r="D297" s="9"/>
      <c r="E297" s="9"/>
      <c r="F297" s="9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0.199999999999999" customHeight="1" x14ac:dyDescent="0.25">
      <c r="A298" s="7"/>
      <c r="B298" s="8"/>
      <c r="C298" s="9"/>
      <c r="D298" s="9"/>
      <c r="E298" s="9"/>
      <c r="F298" s="9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0.199999999999999" customHeight="1" x14ac:dyDescent="0.25">
      <c r="A299" s="7"/>
      <c r="B299" s="8"/>
      <c r="C299" s="9"/>
      <c r="D299" s="9"/>
      <c r="E299" s="9"/>
      <c r="F299" s="9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0.199999999999999" customHeight="1" x14ac:dyDescent="0.25">
      <c r="A300" s="7"/>
      <c r="B300" s="8"/>
      <c r="C300" s="9"/>
      <c r="D300" s="9"/>
      <c r="E300" s="9"/>
      <c r="F300" s="9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0.199999999999999" customHeight="1" x14ac:dyDescent="0.25">
      <c r="A301" s="7"/>
      <c r="B301" s="8"/>
      <c r="C301" s="9"/>
      <c r="D301" s="9"/>
      <c r="E301" s="9"/>
      <c r="F301" s="9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0.199999999999999" customHeight="1" x14ac:dyDescent="0.25">
      <c r="A302" s="7"/>
      <c r="B302" s="8"/>
      <c r="C302" s="9"/>
      <c r="D302" s="9"/>
      <c r="E302" s="9"/>
      <c r="F302" s="9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0.199999999999999" customHeight="1" x14ac:dyDescent="0.25">
      <c r="A303" s="7"/>
      <c r="B303" s="8"/>
      <c r="C303" s="9"/>
      <c r="D303" s="9"/>
      <c r="E303" s="9"/>
      <c r="F303" s="9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0.199999999999999" customHeight="1" x14ac:dyDescent="0.25">
      <c r="A304" s="7"/>
      <c r="B304" s="8"/>
      <c r="C304" s="9"/>
      <c r="D304" s="9"/>
      <c r="E304" s="9"/>
      <c r="F304" s="9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0.199999999999999" customHeight="1" x14ac:dyDescent="0.25">
      <c r="A305" s="7"/>
      <c r="B305" s="8"/>
      <c r="C305" s="9"/>
      <c r="D305" s="9"/>
      <c r="E305" s="9"/>
      <c r="F305" s="9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0.199999999999999" customHeight="1" x14ac:dyDescent="0.25">
      <c r="A306" s="7"/>
      <c r="B306" s="8"/>
      <c r="C306" s="9"/>
      <c r="D306" s="9"/>
      <c r="E306" s="9"/>
      <c r="F306" s="9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0.199999999999999" customHeight="1" x14ac:dyDescent="0.25">
      <c r="A307" s="7"/>
      <c r="B307" s="8"/>
      <c r="C307" s="9"/>
      <c r="D307" s="9"/>
      <c r="E307" s="9"/>
      <c r="F307" s="9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0.199999999999999" customHeight="1" x14ac:dyDescent="0.25">
      <c r="A308" s="7"/>
      <c r="B308" s="8"/>
      <c r="C308" s="9"/>
      <c r="D308" s="9"/>
      <c r="E308" s="9"/>
      <c r="F308" s="9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0.199999999999999" customHeight="1" x14ac:dyDescent="0.25">
      <c r="A309" s="7"/>
      <c r="B309" s="8"/>
      <c r="C309" s="9"/>
      <c r="D309" s="9"/>
      <c r="E309" s="9"/>
      <c r="F309" s="9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0.199999999999999" customHeight="1" x14ac:dyDescent="0.25">
      <c r="A310" s="7"/>
      <c r="B310" s="8"/>
      <c r="C310" s="9"/>
      <c r="D310" s="9"/>
      <c r="E310" s="9"/>
      <c r="F310" s="9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0.199999999999999" customHeight="1" x14ac:dyDescent="0.25">
      <c r="A311" s="7"/>
      <c r="B311" s="8"/>
      <c r="C311" s="9"/>
      <c r="D311" s="9"/>
      <c r="E311" s="9"/>
      <c r="F311" s="9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0.199999999999999" customHeight="1" x14ac:dyDescent="0.25">
      <c r="A312" s="7"/>
      <c r="B312" s="8"/>
      <c r="C312" s="9"/>
      <c r="D312" s="9"/>
      <c r="E312" s="9"/>
      <c r="F312" s="9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0.199999999999999" customHeight="1" x14ac:dyDescent="0.25">
      <c r="A313" s="7"/>
      <c r="B313" s="8"/>
      <c r="C313" s="9"/>
      <c r="D313" s="9"/>
      <c r="E313" s="9"/>
      <c r="F313" s="9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0.199999999999999" customHeight="1" x14ac:dyDescent="0.25">
      <c r="A314" s="7"/>
      <c r="B314" s="8"/>
      <c r="C314" s="9"/>
      <c r="D314" s="9"/>
      <c r="E314" s="9"/>
      <c r="F314" s="9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0.199999999999999" customHeight="1" x14ac:dyDescent="0.25">
      <c r="A315" s="7"/>
      <c r="B315" s="8"/>
      <c r="C315" s="9"/>
      <c r="D315" s="9"/>
      <c r="E315" s="9"/>
      <c r="F315" s="9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0.199999999999999" customHeight="1" x14ac:dyDescent="0.25">
      <c r="A316" s="7"/>
      <c r="B316" s="8"/>
      <c r="C316" s="9"/>
      <c r="D316" s="9"/>
      <c r="E316" s="9"/>
      <c r="F316" s="9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0.199999999999999" customHeight="1" x14ac:dyDescent="0.25">
      <c r="A317" s="7"/>
      <c r="B317" s="8"/>
      <c r="C317" s="9"/>
      <c r="D317" s="9"/>
      <c r="E317" s="9"/>
      <c r="F317" s="9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0.199999999999999" customHeight="1" x14ac:dyDescent="0.25">
      <c r="A318" s="7"/>
      <c r="B318" s="8"/>
      <c r="C318" s="9"/>
      <c r="D318" s="9"/>
      <c r="E318" s="9"/>
      <c r="F318" s="9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0.199999999999999" customHeight="1" x14ac:dyDescent="0.25">
      <c r="A319" s="7"/>
      <c r="B319" s="8"/>
      <c r="C319" s="9"/>
      <c r="D319" s="9"/>
      <c r="E319" s="9"/>
      <c r="F319" s="9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0.199999999999999" customHeight="1" x14ac:dyDescent="0.25">
      <c r="A320" s="7"/>
      <c r="B320" s="8"/>
      <c r="C320" s="9"/>
      <c r="D320" s="9"/>
      <c r="E320" s="9"/>
      <c r="F320" s="9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0.199999999999999" customHeight="1" x14ac:dyDescent="0.25">
      <c r="A321" s="7"/>
      <c r="B321" s="8"/>
      <c r="C321" s="9"/>
      <c r="D321" s="9"/>
      <c r="E321" s="9"/>
      <c r="F321" s="9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0.199999999999999" customHeight="1" x14ac:dyDescent="0.25">
      <c r="A322" s="7"/>
      <c r="B322" s="8"/>
      <c r="C322" s="9"/>
      <c r="D322" s="9"/>
      <c r="E322" s="9"/>
      <c r="F322" s="9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0.199999999999999" customHeight="1" x14ac:dyDescent="0.25">
      <c r="A323" s="7"/>
      <c r="B323" s="8"/>
      <c r="C323" s="9"/>
      <c r="D323" s="9"/>
      <c r="E323" s="9"/>
      <c r="F323" s="9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0.199999999999999" customHeight="1" x14ac:dyDescent="0.25">
      <c r="A324" s="7"/>
      <c r="B324" s="8"/>
      <c r="C324" s="9"/>
      <c r="D324" s="9"/>
      <c r="E324" s="9"/>
      <c r="F324" s="9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0.199999999999999" customHeight="1" x14ac:dyDescent="0.25">
      <c r="A325" s="7"/>
      <c r="B325" s="8"/>
      <c r="C325" s="9"/>
      <c r="D325" s="9"/>
      <c r="E325" s="9"/>
      <c r="F325" s="9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0.199999999999999" customHeight="1" x14ac:dyDescent="0.25">
      <c r="A326" s="7"/>
      <c r="B326" s="8"/>
      <c r="C326" s="9"/>
      <c r="D326" s="9"/>
      <c r="E326" s="9"/>
      <c r="F326" s="9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0.199999999999999" customHeight="1" x14ac:dyDescent="0.25">
      <c r="A327" s="7"/>
      <c r="B327" s="8"/>
      <c r="C327" s="9"/>
      <c r="D327" s="9"/>
      <c r="E327" s="9"/>
      <c r="F327" s="9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0.199999999999999" customHeight="1" x14ac:dyDescent="0.25">
      <c r="A328" s="7"/>
      <c r="B328" s="8"/>
      <c r="C328" s="9"/>
      <c r="D328" s="9"/>
      <c r="E328" s="9"/>
      <c r="F328" s="9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0.199999999999999" customHeight="1" x14ac:dyDescent="0.25">
      <c r="A329" s="7"/>
      <c r="B329" s="8"/>
      <c r="C329" s="9"/>
      <c r="D329" s="9"/>
      <c r="E329" s="9"/>
      <c r="F329" s="9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0.199999999999999" customHeight="1" x14ac:dyDescent="0.25">
      <c r="A330" s="7"/>
      <c r="B330" s="8"/>
      <c r="C330" s="9"/>
      <c r="D330" s="9"/>
      <c r="E330" s="9"/>
      <c r="F330" s="9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0.199999999999999" customHeight="1" x14ac:dyDescent="0.25">
      <c r="A331" s="7"/>
      <c r="B331" s="8"/>
      <c r="C331" s="9"/>
      <c r="D331" s="9"/>
      <c r="E331" s="9"/>
      <c r="F331" s="9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0.199999999999999" customHeight="1" x14ac:dyDescent="0.25">
      <c r="A332" s="7"/>
      <c r="B332" s="8"/>
      <c r="C332" s="9"/>
      <c r="D332" s="9"/>
      <c r="E332" s="9"/>
      <c r="F332" s="9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0.199999999999999" customHeight="1" x14ac:dyDescent="0.25">
      <c r="A333" s="7"/>
      <c r="B333" s="8"/>
      <c r="C333" s="9"/>
      <c r="D333" s="9"/>
      <c r="E333" s="9"/>
      <c r="F333" s="9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0.199999999999999" customHeight="1" x14ac:dyDescent="0.25">
      <c r="A334" s="7"/>
      <c r="B334" s="8"/>
      <c r="C334" s="9"/>
      <c r="D334" s="9"/>
      <c r="E334" s="9"/>
      <c r="F334" s="9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0.199999999999999" customHeight="1" x14ac:dyDescent="0.25">
      <c r="A335" s="7"/>
      <c r="B335" s="8"/>
      <c r="C335" s="9"/>
      <c r="D335" s="9"/>
      <c r="E335" s="9"/>
      <c r="F335" s="9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0.199999999999999" customHeight="1" x14ac:dyDescent="0.25">
      <c r="A336" s="7"/>
      <c r="B336" s="8"/>
      <c r="C336" s="9"/>
      <c r="D336" s="9"/>
      <c r="E336" s="9"/>
      <c r="F336" s="9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0.199999999999999" customHeight="1" x14ac:dyDescent="0.25">
      <c r="A337" s="7"/>
      <c r="B337" s="8"/>
      <c r="C337" s="9"/>
      <c r="D337" s="9"/>
      <c r="E337" s="9"/>
      <c r="F337" s="9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0.199999999999999" customHeight="1" x14ac:dyDescent="0.25">
      <c r="A338" s="7"/>
      <c r="B338" s="8"/>
      <c r="C338" s="9"/>
      <c r="D338" s="9"/>
      <c r="E338" s="9"/>
      <c r="F338" s="9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0.199999999999999" customHeight="1" x14ac:dyDescent="0.25">
      <c r="A339" s="7"/>
      <c r="B339" s="8"/>
      <c r="C339" s="9"/>
      <c r="D339" s="9"/>
      <c r="E339" s="9"/>
      <c r="F339" s="9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0.199999999999999" customHeight="1" x14ac:dyDescent="0.25">
      <c r="A340" s="7"/>
      <c r="B340" s="8"/>
      <c r="C340" s="9"/>
      <c r="D340" s="9"/>
      <c r="E340" s="9"/>
      <c r="F340" s="9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0.199999999999999" customHeight="1" x14ac:dyDescent="0.25">
      <c r="A341" s="7"/>
      <c r="B341" s="8"/>
      <c r="C341" s="9"/>
      <c r="D341" s="9"/>
      <c r="E341" s="9"/>
      <c r="F341" s="9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0.199999999999999" customHeight="1" x14ac:dyDescent="0.25">
      <c r="A342" s="7"/>
      <c r="B342" s="8"/>
      <c r="C342" s="9"/>
      <c r="D342" s="9"/>
      <c r="E342" s="9"/>
      <c r="F342" s="9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0.199999999999999" customHeight="1" x14ac:dyDescent="0.25">
      <c r="A343" s="7"/>
      <c r="B343" s="8"/>
      <c r="C343" s="9"/>
      <c r="D343" s="9"/>
      <c r="E343" s="9"/>
      <c r="F343" s="9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0.199999999999999" customHeight="1" x14ac:dyDescent="0.25">
      <c r="A344" s="7"/>
      <c r="B344" s="8"/>
      <c r="C344" s="9"/>
      <c r="D344" s="9"/>
      <c r="E344" s="9"/>
      <c r="F344" s="9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0.199999999999999" customHeight="1" x14ac:dyDescent="0.25">
      <c r="A345" s="7"/>
      <c r="B345" s="8"/>
      <c r="C345" s="9"/>
      <c r="D345" s="9"/>
      <c r="E345" s="9"/>
      <c r="F345" s="9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0.199999999999999" customHeight="1" x14ac:dyDescent="0.25">
      <c r="A346" s="7"/>
      <c r="B346" s="8"/>
      <c r="C346" s="9"/>
      <c r="D346" s="9"/>
      <c r="E346" s="9"/>
      <c r="F346" s="9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0.199999999999999" customHeight="1" x14ac:dyDescent="0.25">
      <c r="A347" s="7"/>
      <c r="B347" s="8"/>
      <c r="C347" s="9"/>
      <c r="D347" s="9"/>
      <c r="E347" s="9"/>
      <c r="F347" s="9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0.199999999999999" customHeight="1" x14ac:dyDescent="0.25">
      <c r="A348" s="7"/>
      <c r="B348" s="8"/>
      <c r="C348" s="9"/>
      <c r="D348" s="9"/>
      <c r="E348" s="9"/>
      <c r="F348" s="9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0.199999999999999" customHeight="1" x14ac:dyDescent="0.25">
      <c r="A349" s="7"/>
      <c r="B349" s="8"/>
      <c r="C349" s="9"/>
      <c r="D349" s="9"/>
      <c r="E349" s="9"/>
      <c r="F349" s="9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0.199999999999999" customHeight="1" x14ac:dyDescent="0.25">
      <c r="A350" s="7"/>
      <c r="B350" s="8"/>
      <c r="C350" s="9"/>
      <c r="D350" s="9"/>
      <c r="E350" s="9"/>
      <c r="F350" s="9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0.199999999999999" customHeight="1" x14ac:dyDescent="0.25">
      <c r="A351" s="7"/>
      <c r="B351" s="8"/>
      <c r="C351" s="9"/>
      <c r="D351" s="9"/>
      <c r="E351" s="9"/>
      <c r="F351" s="9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0.199999999999999" customHeight="1" x14ac:dyDescent="0.25">
      <c r="A352" s="7"/>
      <c r="B352" s="8"/>
      <c r="C352" s="9"/>
      <c r="D352" s="9"/>
      <c r="E352" s="9"/>
      <c r="F352" s="9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0.199999999999999" customHeight="1" x14ac:dyDescent="0.25">
      <c r="A353" s="7"/>
      <c r="B353" s="8"/>
      <c r="C353" s="9"/>
      <c r="D353" s="9"/>
      <c r="E353" s="9"/>
      <c r="F353" s="9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0.199999999999999" customHeight="1" x14ac:dyDescent="0.25">
      <c r="A354" s="7"/>
      <c r="B354" s="8"/>
      <c r="C354" s="9"/>
      <c r="D354" s="9"/>
      <c r="E354" s="9"/>
      <c r="F354" s="9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0.199999999999999" customHeight="1" x14ac:dyDescent="0.25">
      <c r="A355" s="7"/>
      <c r="B355" s="8"/>
      <c r="C355" s="9"/>
      <c r="D355" s="9"/>
      <c r="E355" s="9"/>
      <c r="F355" s="9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0.199999999999999" customHeight="1" x14ac:dyDescent="0.25">
      <c r="A356" s="7"/>
      <c r="B356" s="8"/>
      <c r="C356" s="9"/>
      <c r="D356" s="9"/>
      <c r="E356" s="9"/>
      <c r="F356" s="9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0.199999999999999" customHeight="1" x14ac:dyDescent="0.25">
      <c r="A357" s="7"/>
      <c r="B357" s="8"/>
      <c r="C357" s="9"/>
      <c r="D357" s="9"/>
      <c r="E357" s="9"/>
      <c r="F357" s="9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0.199999999999999" customHeight="1" x14ac:dyDescent="0.25">
      <c r="A358" s="7"/>
      <c r="B358" s="8"/>
      <c r="C358" s="9"/>
      <c r="D358" s="9"/>
      <c r="E358" s="9"/>
      <c r="F358" s="9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0.199999999999999" customHeight="1" x14ac:dyDescent="0.25">
      <c r="A359" s="7"/>
      <c r="B359" s="8"/>
      <c r="C359" s="9"/>
      <c r="D359" s="9"/>
      <c r="E359" s="9"/>
      <c r="F359" s="9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0.199999999999999" customHeight="1" x14ac:dyDescent="0.25">
      <c r="A360" s="7"/>
      <c r="B360" s="8"/>
      <c r="C360" s="9"/>
      <c r="D360" s="9"/>
      <c r="E360" s="9"/>
      <c r="F360" s="9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0.199999999999999" customHeight="1" x14ac:dyDescent="0.25">
      <c r="A361" s="7"/>
      <c r="B361" s="8"/>
      <c r="C361" s="9"/>
      <c r="D361" s="9"/>
      <c r="E361" s="9"/>
      <c r="F361" s="9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0.199999999999999" customHeight="1" x14ac:dyDescent="0.25">
      <c r="A362" s="7"/>
      <c r="B362" s="8"/>
      <c r="C362" s="9"/>
      <c r="D362" s="9"/>
      <c r="E362" s="9"/>
      <c r="F362" s="9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0.199999999999999" customHeight="1" x14ac:dyDescent="0.25">
      <c r="A363" s="7"/>
      <c r="B363" s="8"/>
      <c r="C363" s="9"/>
      <c r="D363" s="9"/>
      <c r="E363" s="9"/>
      <c r="F363" s="9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0.199999999999999" customHeight="1" x14ac:dyDescent="0.25">
      <c r="A364" s="7"/>
      <c r="B364" s="8"/>
      <c r="C364" s="9"/>
      <c r="D364" s="9"/>
      <c r="E364" s="9"/>
      <c r="F364" s="9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0.199999999999999" customHeight="1" x14ac:dyDescent="0.25">
      <c r="A365" s="7"/>
      <c r="B365" s="8"/>
      <c r="C365" s="9"/>
      <c r="D365" s="9"/>
      <c r="E365" s="9"/>
      <c r="F365" s="9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0.199999999999999" customHeight="1" x14ac:dyDescent="0.25">
      <c r="A366" s="7"/>
      <c r="B366" s="8"/>
      <c r="C366" s="9"/>
      <c r="D366" s="9"/>
      <c r="E366" s="9"/>
      <c r="F366" s="9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0.199999999999999" customHeight="1" x14ac:dyDescent="0.25">
      <c r="A367" s="7"/>
      <c r="B367" s="8"/>
      <c r="C367" s="9"/>
      <c r="D367" s="9"/>
      <c r="E367" s="9"/>
      <c r="F367" s="9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0.199999999999999" customHeight="1" x14ac:dyDescent="0.25">
      <c r="A368" s="7"/>
      <c r="B368" s="8"/>
      <c r="C368" s="9"/>
      <c r="D368" s="9"/>
      <c r="E368" s="9"/>
      <c r="F368" s="9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0.199999999999999" customHeight="1" x14ac:dyDescent="0.25">
      <c r="A369" s="7"/>
      <c r="B369" s="8"/>
      <c r="C369" s="9"/>
      <c r="D369" s="9"/>
      <c r="E369" s="9"/>
      <c r="F369" s="9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0.199999999999999" customHeight="1" x14ac:dyDescent="0.25">
      <c r="A370" s="7"/>
      <c r="B370" s="8"/>
      <c r="C370" s="9"/>
      <c r="D370" s="9"/>
      <c r="E370" s="9"/>
      <c r="F370" s="9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0.199999999999999" customHeight="1" x14ac:dyDescent="0.25">
      <c r="A371" s="7"/>
      <c r="B371" s="8"/>
      <c r="C371" s="9"/>
      <c r="D371" s="9"/>
      <c r="E371" s="9"/>
      <c r="F371" s="9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0.199999999999999" customHeight="1" x14ac:dyDescent="0.25">
      <c r="A372" s="7"/>
      <c r="B372" s="8"/>
      <c r="C372" s="9"/>
      <c r="D372" s="9"/>
      <c r="E372" s="9"/>
      <c r="F372" s="9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0.199999999999999" customHeight="1" x14ac:dyDescent="0.25">
      <c r="A373" s="7"/>
      <c r="B373" s="8"/>
      <c r="C373" s="9"/>
      <c r="D373" s="9"/>
      <c r="E373" s="9"/>
      <c r="F373" s="9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0.199999999999999" customHeight="1" x14ac:dyDescent="0.25">
      <c r="A374" s="7"/>
      <c r="B374" s="8"/>
      <c r="C374" s="9"/>
      <c r="D374" s="9"/>
      <c r="E374" s="9"/>
      <c r="F374" s="9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0.199999999999999" customHeight="1" x14ac:dyDescent="0.25">
      <c r="A375" s="7"/>
      <c r="B375" s="8"/>
      <c r="C375" s="9"/>
      <c r="D375" s="9"/>
      <c r="E375" s="9"/>
      <c r="F375" s="9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0.199999999999999" customHeight="1" x14ac:dyDescent="0.25">
      <c r="A376" s="7"/>
      <c r="B376" s="8"/>
      <c r="C376" s="9"/>
      <c r="D376" s="9"/>
      <c r="E376" s="9"/>
      <c r="F376" s="9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0.199999999999999" customHeight="1" x14ac:dyDescent="0.25">
      <c r="A377" s="7"/>
      <c r="B377" s="8"/>
      <c r="C377" s="9"/>
      <c r="D377" s="9"/>
      <c r="E377" s="9"/>
      <c r="F377" s="9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0.199999999999999" customHeight="1" x14ac:dyDescent="0.25">
      <c r="A378" s="7"/>
      <c r="B378" s="8"/>
      <c r="C378" s="9"/>
      <c r="D378" s="9"/>
      <c r="E378" s="9"/>
      <c r="F378" s="9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0.199999999999999" customHeight="1" x14ac:dyDescent="0.25">
      <c r="A379" s="7"/>
      <c r="B379" s="8"/>
      <c r="C379" s="9"/>
      <c r="D379" s="9"/>
      <c r="E379" s="9"/>
      <c r="F379" s="9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0.199999999999999" customHeight="1" x14ac:dyDescent="0.25">
      <c r="A380" s="7"/>
      <c r="B380" s="8"/>
      <c r="C380" s="9"/>
      <c r="D380" s="9"/>
      <c r="E380" s="9"/>
      <c r="F380" s="9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0.199999999999999" customHeight="1" x14ac:dyDescent="0.25">
      <c r="A381" s="7"/>
      <c r="B381" s="8"/>
      <c r="C381" s="9"/>
      <c r="D381" s="9"/>
      <c r="E381" s="9"/>
      <c r="F381" s="9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0.199999999999999" customHeight="1" x14ac:dyDescent="0.25">
      <c r="A382" s="7"/>
      <c r="B382" s="8"/>
      <c r="C382" s="9"/>
      <c r="D382" s="9"/>
      <c r="E382" s="9"/>
      <c r="F382" s="9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0.199999999999999" customHeight="1" x14ac:dyDescent="0.25">
      <c r="A383" s="7"/>
      <c r="B383" s="8"/>
      <c r="C383" s="9"/>
      <c r="D383" s="9"/>
      <c r="E383" s="9"/>
      <c r="F383" s="9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0.199999999999999" customHeight="1" x14ac:dyDescent="0.25">
      <c r="A384" s="7"/>
      <c r="B384" s="8"/>
      <c r="C384" s="9"/>
      <c r="D384" s="9"/>
      <c r="E384" s="9"/>
      <c r="F384" s="9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0.199999999999999" customHeight="1" x14ac:dyDescent="0.25">
      <c r="A385" s="7"/>
      <c r="B385" s="8"/>
      <c r="C385" s="9"/>
      <c r="D385" s="9"/>
      <c r="E385" s="9"/>
      <c r="F385" s="9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0.199999999999999" customHeight="1" x14ac:dyDescent="0.25">
      <c r="A386" s="7"/>
      <c r="B386" s="8"/>
      <c r="C386" s="9"/>
      <c r="D386" s="9"/>
      <c r="E386" s="9"/>
      <c r="F386" s="9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0.199999999999999" customHeight="1" x14ac:dyDescent="0.25">
      <c r="A387" s="7"/>
      <c r="B387" s="8"/>
      <c r="C387" s="9"/>
      <c r="D387" s="9"/>
      <c r="E387" s="9"/>
      <c r="F387" s="9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0.199999999999999" customHeight="1" x14ac:dyDescent="0.25">
      <c r="A388" s="7"/>
      <c r="B388" s="8"/>
      <c r="C388" s="9"/>
      <c r="D388" s="9"/>
      <c r="E388" s="9"/>
      <c r="F388" s="9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0.199999999999999" customHeight="1" x14ac:dyDescent="0.25">
      <c r="A389" s="7"/>
      <c r="B389" s="8"/>
      <c r="C389" s="9"/>
      <c r="D389" s="9"/>
      <c r="E389" s="9"/>
      <c r="F389" s="9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0.199999999999999" customHeight="1" x14ac:dyDescent="0.25">
      <c r="A390" s="7"/>
      <c r="B390" s="8"/>
      <c r="C390" s="9"/>
      <c r="D390" s="9"/>
      <c r="E390" s="9"/>
      <c r="F390" s="9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0.199999999999999" customHeight="1" x14ac:dyDescent="0.25">
      <c r="A391" s="7"/>
      <c r="B391" s="8"/>
      <c r="C391" s="9"/>
      <c r="D391" s="9"/>
      <c r="E391" s="9"/>
      <c r="F391" s="9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0.199999999999999" customHeight="1" x14ac:dyDescent="0.25">
      <c r="A392" s="7"/>
      <c r="B392" s="8"/>
      <c r="C392" s="9"/>
      <c r="D392" s="9"/>
      <c r="E392" s="9"/>
      <c r="F392" s="9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0.199999999999999" customHeight="1" x14ac:dyDescent="0.25">
      <c r="A393" s="7"/>
      <c r="B393" s="8"/>
      <c r="C393" s="9"/>
      <c r="D393" s="9"/>
      <c r="E393" s="9"/>
      <c r="F393" s="9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0.199999999999999" customHeight="1" x14ac:dyDescent="0.25">
      <c r="A394" s="7"/>
      <c r="B394" s="8"/>
      <c r="C394" s="9"/>
      <c r="D394" s="9"/>
      <c r="E394" s="9"/>
      <c r="F394" s="9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0.199999999999999" customHeight="1" x14ac:dyDescent="0.25">
      <c r="A395" s="7"/>
      <c r="B395" s="8"/>
      <c r="C395" s="9"/>
      <c r="D395" s="9"/>
      <c r="E395" s="9"/>
      <c r="F395" s="9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0.199999999999999" customHeight="1" x14ac:dyDescent="0.25">
      <c r="A396" s="7"/>
      <c r="B396" s="8"/>
      <c r="C396" s="9"/>
      <c r="D396" s="9"/>
      <c r="E396" s="9"/>
      <c r="F396" s="9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0.199999999999999" customHeight="1" x14ac:dyDescent="0.25">
      <c r="A397" s="7"/>
      <c r="B397" s="8"/>
      <c r="C397" s="9"/>
      <c r="D397" s="9"/>
      <c r="E397" s="9"/>
      <c r="F397" s="9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0.199999999999999" customHeight="1" x14ac:dyDescent="0.25">
      <c r="A398" s="7"/>
      <c r="B398" s="8"/>
      <c r="C398" s="9"/>
      <c r="D398" s="9"/>
      <c r="E398" s="9"/>
      <c r="F398" s="9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0.199999999999999" customHeight="1" x14ac:dyDescent="0.25">
      <c r="A399" s="7"/>
      <c r="B399" s="8"/>
      <c r="C399" s="9"/>
      <c r="D399" s="9"/>
      <c r="E399" s="9"/>
      <c r="F399" s="9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0.199999999999999" customHeight="1" x14ac:dyDescent="0.25">
      <c r="A400" s="7"/>
      <c r="B400" s="8"/>
      <c r="C400" s="9"/>
      <c r="D400" s="9"/>
      <c r="E400" s="9"/>
      <c r="F400" s="9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0.199999999999999" customHeight="1" x14ac:dyDescent="0.25">
      <c r="A401" s="7"/>
      <c r="B401" s="8"/>
      <c r="C401" s="9"/>
      <c r="D401" s="9"/>
      <c r="E401" s="9"/>
      <c r="F401" s="9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0.199999999999999" customHeight="1" x14ac:dyDescent="0.25">
      <c r="A402" s="7"/>
      <c r="B402" s="8"/>
      <c r="C402" s="9"/>
      <c r="D402" s="9"/>
      <c r="E402" s="9"/>
      <c r="F402" s="9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0.199999999999999" customHeight="1" x14ac:dyDescent="0.25">
      <c r="A403" s="7"/>
      <c r="B403" s="8"/>
      <c r="C403" s="9"/>
      <c r="D403" s="9"/>
      <c r="E403" s="9"/>
      <c r="F403" s="9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0.199999999999999" customHeight="1" x14ac:dyDescent="0.25">
      <c r="A404" s="7"/>
      <c r="B404" s="8"/>
      <c r="C404" s="9"/>
      <c r="D404" s="9"/>
      <c r="E404" s="9"/>
      <c r="F404" s="9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0.199999999999999" customHeight="1" x14ac:dyDescent="0.25">
      <c r="A405" s="7"/>
      <c r="B405" s="8"/>
      <c r="C405" s="9"/>
      <c r="D405" s="9"/>
      <c r="E405" s="9"/>
      <c r="F405" s="9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0.199999999999999" customHeight="1" x14ac:dyDescent="0.25">
      <c r="A406" s="7"/>
      <c r="B406" s="8"/>
      <c r="C406" s="9"/>
      <c r="D406" s="9"/>
      <c r="E406" s="9"/>
      <c r="F406" s="9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0.199999999999999" customHeight="1" x14ac:dyDescent="0.25">
      <c r="A407" s="7"/>
      <c r="B407" s="8"/>
      <c r="C407" s="9"/>
      <c r="D407" s="9"/>
      <c r="E407" s="9"/>
      <c r="F407" s="9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0.199999999999999" customHeight="1" x14ac:dyDescent="0.25">
      <c r="A408" s="7"/>
      <c r="B408" s="8"/>
      <c r="C408" s="9"/>
      <c r="D408" s="9"/>
      <c r="E408" s="9"/>
      <c r="F408" s="9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0.199999999999999" customHeight="1" x14ac:dyDescent="0.25">
      <c r="A409" s="7"/>
      <c r="B409" s="8"/>
      <c r="C409" s="9"/>
      <c r="D409" s="9"/>
      <c r="E409" s="9"/>
      <c r="F409" s="9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0.199999999999999" customHeight="1" x14ac:dyDescent="0.25">
      <c r="A410" s="7"/>
      <c r="B410" s="8"/>
      <c r="C410" s="9"/>
      <c r="D410" s="9"/>
      <c r="E410" s="9"/>
      <c r="F410" s="9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0.199999999999999" customHeight="1" x14ac:dyDescent="0.25">
      <c r="A411" s="7"/>
      <c r="B411" s="8"/>
      <c r="C411" s="9"/>
      <c r="D411" s="9"/>
      <c r="E411" s="9"/>
      <c r="F411" s="9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0.199999999999999" customHeight="1" x14ac:dyDescent="0.25">
      <c r="A412" s="7"/>
      <c r="B412" s="8"/>
      <c r="C412" s="9"/>
      <c r="D412" s="9"/>
      <c r="E412" s="9"/>
      <c r="F412" s="9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0.199999999999999" customHeight="1" x14ac:dyDescent="0.25">
      <c r="A413" s="7"/>
      <c r="B413" s="8"/>
      <c r="C413" s="9"/>
      <c r="D413" s="9"/>
      <c r="E413" s="9"/>
      <c r="F413" s="9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0.199999999999999" customHeight="1" x14ac:dyDescent="0.25">
      <c r="A414" s="7"/>
      <c r="B414" s="8"/>
      <c r="C414" s="9"/>
      <c r="D414" s="9"/>
      <c r="E414" s="9"/>
      <c r="F414" s="9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0.199999999999999" customHeight="1" x14ac:dyDescent="0.25">
      <c r="A415" s="7"/>
      <c r="B415" s="8"/>
      <c r="C415" s="9"/>
      <c r="D415" s="9"/>
      <c r="E415" s="9"/>
      <c r="F415" s="9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0.199999999999999" customHeight="1" x14ac:dyDescent="0.25">
      <c r="A416" s="7"/>
      <c r="B416" s="8"/>
      <c r="C416" s="9"/>
      <c r="D416" s="9"/>
      <c r="E416" s="9"/>
      <c r="F416" s="9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0.199999999999999" customHeight="1" x14ac:dyDescent="0.25">
      <c r="A417" s="7"/>
      <c r="B417" s="8"/>
      <c r="C417" s="9"/>
      <c r="D417" s="9"/>
      <c r="E417" s="9"/>
      <c r="F417" s="9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0.199999999999999" customHeight="1" x14ac:dyDescent="0.25">
      <c r="A418" s="7"/>
      <c r="B418" s="8"/>
      <c r="C418" s="9"/>
      <c r="D418" s="9"/>
      <c r="E418" s="9"/>
      <c r="F418" s="9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0.199999999999999" customHeight="1" x14ac:dyDescent="0.25">
      <c r="A419" s="7"/>
      <c r="B419" s="8"/>
      <c r="C419" s="9"/>
      <c r="D419" s="9"/>
      <c r="E419" s="9"/>
      <c r="F419" s="9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0.199999999999999" customHeight="1" x14ac:dyDescent="0.25">
      <c r="A420" s="7"/>
      <c r="B420" s="8"/>
      <c r="C420" s="9"/>
      <c r="D420" s="9"/>
      <c r="E420" s="9"/>
      <c r="F420" s="9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0.199999999999999" customHeight="1" x14ac:dyDescent="0.25">
      <c r="A421" s="7"/>
      <c r="B421" s="8"/>
      <c r="C421" s="9"/>
      <c r="D421" s="9"/>
      <c r="E421" s="9"/>
      <c r="F421" s="9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0.199999999999999" customHeight="1" x14ac:dyDescent="0.25">
      <c r="A422" s="7"/>
      <c r="B422" s="8"/>
      <c r="C422" s="9"/>
      <c r="D422" s="9"/>
      <c r="E422" s="9"/>
      <c r="F422" s="9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0.199999999999999" customHeight="1" x14ac:dyDescent="0.25">
      <c r="A423" s="7"/>
      <c r="B423" s="8"/>
      <c r="C423" s="9"/>
      <c r="D423" s="9"/>
      <c r="E423" s="9"/>
      <c r="F423" s="9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0.199999999999999" customHeight="1" x14ac:dyDescent="0.25">
      <c r="A424" s="7"/>
      <c r="B424" s="8"/>
      <c r="C424" s="9"/>
      <c r="D424" s="9"/>
      <c r="E424" s="9"/>
      <c r="F424" s="9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0.199999999999999" customHeight="1" x14ac:dyDescent="0.25">
      <c r="A425" s="7"/>
      <c r="B425" s="8"/>
      <c r="C425" s="9"/>
      <c r="D425" s="9"/>
      <c r="E425" s="9"/>
      <c r="F425" s="9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0.199999999999999" customHeight="1" x14ac:dyDescent="0.25">
      <c r="A426" s="7"/>
      <c r="B426" s="8"/>
      <c r="C426" s="9"/>
      <c r="D426" s="9"/>
      <c r="E426" s="9"/>
      <c r="F426" s="9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0.199999999999999" customHeight="1" x14ac:dyDescent="0.25">
      <c r="A427" s="7"/>
      <c r="B427" s="8"/>
      <c r="C427" s="9"/>
      <c r="D427" s="9"/>
      <c r="E427" s="9"/>
      <c r="F427" s="9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0.199999999999999" customHeight="1" x14ac:dyDescent="0.25">
      <c r="A428" s="7"/>
      <c r="B428" s="8"/>
      <c r="C428" s="9"/>
      <c r="D428" s="9"/>
      <c r="E428" s="9"/>
      <c r="F428" s="9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0.199999999999999" customHeight="1" x14ac:dyDescent="0.25">
      <c r="A429" s="7"/>
      <c r="B429" s="8"/>
      <c r="C429" s="9"/>
      <c r="D429" s="9"/>
      <c r="E429" s="9"/>
      <c r="F429" s="9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0.199999999999999" customHeight="1" x14ac:dyDescent="0.25">
      <c r="A430" s="7"/>
      <c r="B430" s="8"/>
      <c r="C430" s="9"/>
      <c r="D430" s="9"/>
      <c r="E430" s="9"/>
      <c r="F430" s="9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0.199999999999999" customHeight="1" x14ac:dyDescent="0.25">
      <c r="A431" s="7"/>
      <c r="B431" s="8"/>
      <c r="C431" s="9"/>
      <c r="D431" s="9"/>
      <c r="E431" s="9"/>
      <c r="F431" s="9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0.199999999999999" customHeight="1" x14ac:dyDescent="0.25">
      <c r="A432" s="7"/>
      <c r="B432" s="8"/>
      <c r="C432" s="9"/>
      <c r="D432" s="9"/>
      <c r="E432" s="9"/>
      <c r="F432" s="9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0.199999999999999" customHeight="1" x14ac:dyDescent="0.25">
      <c r="A433" s="7"/>
      <c r="B433" s="8"/>
      <c r="C433" s="9"/>
      <c r="D433" s="9"/>
      <c r="E433" s="9"/>
      <c r="F433" s="9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0.199999999999999" customHeight="1" x14ac:dyDescent="0.25">
      <c r="A434" s="7"/>
      <c r="B434" s="8"/>
      <c r="C434" s="9"/>
      <c r="D434" s="9"/>
      <c r="E434" s="9"/>
      <c r="F434" s="9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0.199999999999999" customHeight="1" x14ac:dyDescent="0.25">
      <c r="A435" s="7"/>
      <c r="B435" s="8"/>
      <c r="C435" s="9"/>
      <c r="D435" s="9"/>
      <c r="E435" s="9"/>
      <c r="F435" s="9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0.199999999999999" customHeight="1" x14ac:dyDescent="0.25">
      <c r="A436" s="7"/>
      <c r="B436" s="8"/>
      <c r="C436" s="9"/>
      <c r="D436" s="9"/>
      <c r="E436" s="9"/>
      <c r="F436" s="9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0.199999999999999" customHeight="1" x14ac:dyDescent="0.25">
      <c r="A437" s="7"/>
      <c r="B437" s="8"/>
      <c r="C437" s="9"/>
      <c r="D437" s="9"/>
      <c r="E437" s="9"/>
      <c r="F437" s="9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0.199999999999999" customHeight="1" x14ac:dyDescent="0.25">
      <c r="A438" s="7"/>
      <c r="B438" s="8"/>
      <c r="C438" s="9"/>
      <c r="D438" s="9"/>
      <c r="E438" s="9"/>
      <c r="F438" s="9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0.199999999999999" customHeight="1" x14ac:dyDescent="0.25">
      <c r="A439" s="7"/>
      <c r="B439" s="8"/>
      <c r="C439" s="9"/>
      <c r="D439" s="9"/>
      <c r="E439" s="9"/>
      <c r="F439" s="9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0.199999999999999" customHeight="1" x14ac:dyDescent="0.25">
      <c r="A440" s="7"/>
      <c r="B440" s="8"/>
      <c r="C440" s="9"/>
      <c r="D440" s="9"/>
      <c r="E440" s="9"/>
      <c r="F440" s="9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0.199999999999999" customHeight="1" x14ac:dyDescent="0.25">
      <c r="A441" s="7"/>
      <c r="B441" s="8"/>
      <c r="C441" s="9"/>
      <c r="D441" s="9"/>
      <c r="E441" s="9"/>
      <c r="F441" s="9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0.199999999999999" customHeight="1" x14ac:dyDescent="0.25">
      <c r="A442" s="7"/>
      <c r="B442" s="8"/>
      <c r="C442" s="9"/>
      <c r="D442" s="9"/>
      <c r="E442" s="9"/>
      <c r="F442" s="9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0.199999999999999" customHeight="1" x14ac:dyDescent="0.25">
      <c r="A443" s="7"/>
      <c r="B443" s="8"/>
      <c r="C443" s="9"/>
      <c r="D443" s="9"/>
      <c r="E443" s="9"/>
      <c r="F443" s="9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0.199999999999999" customHeight="1" x14ac:dyDescent="0.25">
      <c r="A444" s="7"/>
      <c r="B444" s="8"/>
      <c r="C444" s="9"/>
      <c r="D444" s="9"/>
      <c r="E444" s="9"/>
      <c r="F444" s="9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0.199999999999999" customHeight="1" x14ac:dyDescent="0.25">
      <c r="A445" s="7"/>
      <c r="B445" s="8"/>
      <c r="C445" s="9"/>
      <c r="D445" s="9"/>
      <c r="E445" s="9"/>
      <c r="F445" s="9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0.199999999999999" customHeight="1" x14ac:dyDescent="0.25">
      <c r="A446" s="7"/>
      <c r="B446" s="8"/>
      <c r="C446" s="9"/>
      <c r="D446" s="9"/>
      <c r="E446" s="9"/>
      <c r="F446" s="9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0.199999999999999" customHeight="1" x14ac:dyDescent="0.25">
      <c r="A447" s="7"/>
      <c r="B447" s="8"/>
      <c r="C447" s="9"/>
      <c r="D447" s="9"/>
      <c r="E447" s="9"/>
      <c r="F447" s="9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0.199999999999999" customHeight="1" x14ac:dyDescent="0.25">
      <c r="A448" s="7"/>
      <c r="B448" s="8"/>
      <c r="C448" s="9"/>
      <c r="D448" s="9"/>
      <c r="E448" s="9"/>
      <c r="F448" s="9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0.199999999999999" customHeight="1" x14ac:dyDescent="0.25">
      <c r="A449" s="7"/>
      <c r="B449" s="8"/>
      <c r="C449" s="9"/>
      <c r="D449" s="9"/>
      <c r="E449" s="9"/>
      <c r="F449" s="9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0.199999999999999" customHeight="1" x14ac:dyDescent="0.25">
      <c r="A450" s="7"/>
      <c r="B450" s="8"/>
      <c r="C450" s="9"/>
      <c r="D450" s="9"/>
      <c r="E450" s="9"/>
      <c r="F450" s="9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0.199999999999999" customHeight="1" x14ac:dyDescent="0.25">
      <c r="A451" s="7"/>
      <c r="B451" s="8"/>
      <c r="C451" s="9"/>
      <c r="D451" s="9"/>
      <c r="E451" s="9"/>
      <c r="F451" s="9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0.199999999999999" customHeight="1" x14ac:dyDescent="0.25">
      <c r="A452" s="7"/>
      <c r="B452" s="8"/>
      <c r="C452" s="9"/>
      <c r="D452" s="9"/>
      <c r="E452" s="9"/>
      <c r="F452" s="9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0.199999999999999" customHeight="1" x14ac:dyDescent="0.25">
      <c r="A453" s="7"/>
      <c r="B453" s="8"/>
      <c r="C453" s="9"/>
      <c r="D453" s="9"/>
      <c r="E453" s="9"/>
      <c r="F453" s="9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0.199999999999999" customHeight="1" x14ac:dyDescent="0.25">
      <c r="A454" s="7"/>
      <c r="B454" s="8"/>
      <c r="C454" s="9"/>
      <c r="D454" s="9"/>
      <c r="E454" s="9"/>
      <c r="F454" s="9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0.199999999999999" customHeight="1" x14ac:dyDescent="0.25">
      <c r="A455" s="7"/>
      <c r="B455" s="8"/>
      <c r="C455" s="9"/>
      <c r="D455" s="9"/>
      <c r="E455" s="9"/>
      <c r="F455" s="9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0.199999999999999" customHeight="1" x14ac:dyDescent="0.25">
      <c r="A456" s="7"/>
      <c r="B456" s="8"/>
      <c r="C456" s="9"/>
      <c r="D456" s="9"/>
      <c r="E456" s="9"/>
      <c r="F456" s="9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0.199999999999999" customHeight="1" x14ac:dyDescent="0.25">
      <c r="A457" s="7"/>
      <c r="B457" s="8"/>
      <c r="C457" s="9"/>
      <c r="D457" s="9"/>
      <c r="E457" s="9"/>
      <c r="F457" s="9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0.199999999999999" customHeight="1" x14ac:dyDescent="0.25">
      <c r="A458" s="7"/>
      <c r="B458" s="8"/>
      <c r="C458" s="9"/>
      <c r="D458" s="9"/>
      <c r="E458" s="9"/>
      <c r="F458" s="9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0.199999999999999" customHeight="1" x14ac:dyDescent="0.25">
      <c r="A459" s="7"/>
      <c r="B459" s="8"/>
      <c r="C459" s="9"/>
      <c r="D459" s="9"/>
      <c r="E459" s="9"/>
      <c r="F459" s="9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0.199999999999999" customHeight="1" x14ac:dyDescent="0.25">
      <c r="A460" s="7"/>
      <c r="B460" s="8"/>
      <c r="C460" s="9"/>
      <c r="D460" s="9"/>
      <c r="E460" s="9"/>
      <c r="F460" s="9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0.199999999999999" customHeight="1" x14ac:dyDescent="0.25">
      <c r="A461" s="7"/>
      <c r="B461" s="8"/>
      <c r="C461" s="9"/>
      <c r="D461" s="9"/>
      <c r="E461" s="9"/>
      <c r="F461" s="9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0.199999999999999" customHeight="1" x14ac:dyDescent="0.25">
      <c r="A462" s="7"/>
      <c r="B462" s="8"/>
      <c r="C462" s="9"/>
      <c r="D462" s="9"/>
      <c r="E462" s="9"/>
      <c r="F462" s="9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0.199999999999999" customHeight="1" x14ac:dyDescent="0.25">
      <c r="A463" s="7"/>
      <c r="B463" s="8"/>
      <c r="C463" s="9"/>
      <c r="D463" s="9"/>
      <c r="E463" s="9"/>
      <c r="F463" s="9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0.199999999999999" customHeight="1" x14ac:dyDescent="0.25">
      <c r="A464" s="7"/>
      <c r="B464" s="8"/>
      <c r="C464" s="9"/>
      <c r="D464" s="9"/>
      <c r="E464" s="9"/>
      <c r="F464" s="9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0.199999999999999" customHeight="1" x14ac:dyDescent="0.25">
      <c r="A465" s="7"/>
      <c r="B465" s="8"/>
      <c r="C465" s="9"/>
      <c r="D465" s="9"/>
      <c r="E465" s="9"/>
      <c r="F465" s="9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0.199999999999999" customHeight="1" x14ac:dyDescent="0.25">
      <c r="A466" s="7"/>
      <c r="B466" s="8"/>
      <c r="C466" s="9"/>
      <c r="D466" s="9"/>
      <c r="E466" s="9"/>
      <c r="F466" s="9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0.199999999999999" customHeight="1" x14ac:dyDescent="0.25">
      <c r="A467" s="7"/>
      <c r="B467" s="8"/>
      <c r="C467" s="9"/>
      <c r="D467" s="9"/>
      <c r="E467" s="9"/>
      <c r="F467" s="9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0.199999999999999" customHeight="1" x14ac:dyDescent="0.25">
      <c r="A468" s="7"/>
      <c r="B468" s="8"/>
      <c r="C468" s="9"/>
      <c r="D468" s="9"/>
      <c r="E468" s="9"/>
      <c r="F468" s="9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0.199999999999999" customHeight="1" x14ac:dyDescent="0.25">
      <c r="A469" s="7"/>
      <c r="B469" s="8"/>
      <c r="C469" s="9"/>
      <c r="D469" s="9"/>
      <c r="E469" s="9"/>
      <c r="F469" s="9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0.199999999999999" customHeight="1" x14ac:dyDescent="0.25">
      <c r="A470" s="7"/>
      <c r="B470" s="8"/>
      <c r="C470" s="9"/>
      <c r="D470" s="9"/>
      <c r="E470" s="9"/>
      <c r="F470" s="9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0.199999999999999" customHeight="1" x14ac:dyDescent="0.25">
      <c r="A471" s="7"/>
      <c r="B471" s="8"/>
      <c r="C471" s="9"/>
      <c r="D471" s="9"/>
      <c r="E471" s="9"/>
      <c r="F471" s="9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0.199999999999999" customHeight="1" x14ac:dyDescent="0.25">
      <c r="A472" s="7"/>
      <c r="B472" s="8"/>
      <c r="C472" s="9"/>
      <c r="D472" s="9"/>
      <c r="E472" s="9"/>
      <c r="F472" s="9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0.199999999999999" customHeight="1" x14ac:dyDescent="0.25">
      <c r="A473" s="7"/>
      <c r="B473" s="8"/>
      <c r="C473" s="9"/>
      <c r="D473" s="9"/>
      <c r="E473" s="9"/>
      <c r="F473" s="9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0.199999999999999" customHeight="1" x14ac:dyDescent="0.25">
      <c r="A474" s="7"/>
      <c r="B474" s="8"/>
      <c r="C474" s="9"/>
      <c r="D474" s="9"/>
      <c r="E474" s="9"/>
      <c r="F474" s="9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0.199999999999999" customHeight="1" x14ac:dyDescent="0.25">
      <c r="A475" s="7"/>
      <c r="B475" s="8"/>
      <c r="C475" s="9"/>
      <c r="D475" s="9"/>
      <c r="E475" s="9"/>
      <c r="F475" s="9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0.199999999999999" customHeight="1" x14ac:dyDescent="0.25">
      <c r="A476" s="7"/>
      <c r="B476" s="8"/>
      <c r="C476" s="9"/>
      <c r="D476" s="9"/>
      <c r="E476" s="9"/>
      <c r="F476" s="9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0.199999999999999" customHeight="1" x14ac:dyDescent="0.25">
      <c r="A477" s="7"/>
      <c r="B477" s="8"/>
      <c r="C477" s="9"/>
      <c r="D477" s="9"/>
      <c r="E477" s="9"/>
      <c r="F477" s="9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0.199999999999999" customHeight="1" x14ac:dyDescent="0.25">
      <c r="A478" s="7"/>
      <c r="B478" s="8"/>
      <c r="C478" s="9"/>
      <c r="D478" s="9"/>
      <c r="E478" s="9"/>
      <c r="F478" s="9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0.199999999999999" customHeight="1" x14ac:dyDescent="0.25">
      <c r="A479" s="7"/>
      <c r="B479" s="8"/>
      <c r="C479" s="9"/>
      <c r="D479" s="9"/>
      <c r="E479" s="9"/>
      <c r="F479" s="9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0.199999999999999" customHeight="1" x14ac:dyDescent="0.25">
      <c r="A480" s="7"/>
      <c r="B480" s="8"/>
      <c r="C480" s="9"/>
      <c r="D480" s="9"/>
      <c r="E480" s="9"/>
      <c r="F480" s="9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0.199999999999999" customHeight="1" x14ac:dyDescent="0.25">
      <c r="A481" s="7"/>
      <c r="B481" s="8"/>
      <c r="C481" s="9"/>
      <c r="D481" s="9"/>
      <c r="E481" s="9"/>
      <c r="F481" s="9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0.199999999999999" customHeight="1" x14ac:dyDescent="0.25">
      <c r="A482" s="7"/>
      <c r="B482" s="8"/>
      <c r="C482" s="9"/>
      <c r="D482" s="9"/>
      <c r="E482" s="9"/>
      <c r="F482" s="9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0.199999999999999" customHeight="1" x14ac:dyDescent="0.25">
      <c r="A483" s="7"/>
      <c r="B483" s="8"/>
      <c r="C483" s="9"/>
      <c r="D483" s="9"/>
      <c r="E483" s="9"/>
      <c r="F483" s="9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0.199999999999999" customHeight="1" x14ac:dyDescent="0.25">
      <c r="A484" s="7"/>
      <c r="B484" s="8"/>
      <c r="C484" s="9"/>
      <c r="D484" s="9"/>
      <c r="E484" s="9"/>
      <c r="F484" s="9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0.199999999999999" customHeight="1" x14ac:dyDescent="0.25">
      <c r="A485" s="7"/>
      <c r="B485" s="8"/>
      <c r="C485" s="9"/>
      <c r="D485" s="9"/>
      <c r="E485" s="9"/>
      <c r="F485" s="9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0.199999999999999" customHeight="1" x14ac:dyDescent="0.25">
      <c r="A486" s="7"/>
      <c r="B486" s="8"/>
      <c r="C486" s="9"/>
      <c r="D486" s="9"/>
      <c r="E486" s="9"/>
      <c r="F486" s="9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0.199999999999999" customHeight="1" x14ac:dyDescent="0.25">
      <c r="A487" s="7"/>
      <c r="B487" s="8"/>
      <c r="C487" s="9"/>
      <c r="D487" s="9"/>
      <c r="E487" s="9"/>
      <c r="F487" s="9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0.199999999999999" customHeight="1" x14ac:dyDescent="0.25">
      <c r="A488" s="7"/>
      <c r="B488" s="8"/>
      <c r="C488" s="9"/>
      <c r="D488" s="9"/>
      <c r="E488" s="9"/>
      <c r="F488" s="9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0.199999999999999" customHeight="1" x14ac:dyDescent="0.25">
      <c r="A489" s="7"/>
      <c r="B489" s="8"/>
      <c r="C489" s="9"/>
      <c r="D489" s="9"/>
      <c r="E489" s="9"/>
      <c r="F489" s="9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0.199999999999999" customHeight="1" x14ac:dyDescent="0.25">
      <c r="A490" s="7"/>
      <c r="B490" s="8"/>
      <c r="C490" s="9"/>
      <c r="D490" s="9"/>
      <c r="E490" s="9"/>
      <c r="F490" s="9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0.199999999999999" customHeight="1" x14ac:dyDescent="0.25">
      <c r="A491" s="7"/>
      <c r="B491" s="8"/>
      <c r="C491" s="9"/>
      <c r="D491" s="9"/>
      <c r="E491" s="9"/>
      <c r="F491" s="9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0.199999999999999" customHeight="1" x14ac:dyDescent="0.25">
      <c r="A492" s="7"/>
      <c r="B492" s="8"/>
      <c r="C492" s="9"/>
      <c r="D492" s="9"/>
      <c r="E492" s="9"/>
      <c r="F492" s="9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0.199999999999999" customHeight="1" x14ac:dyDescent="0.25">
      <c r="A493" s="7"/>
      <c r="B493" s="8"/>
      <c r="C493" s="9"/>
      <c r="D493" s="9"/>
      <c r="E493" s="9"/>
      <c r="F493" s="9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0.199999999999999" customHeight="1" x14ac:dyDescent="0.25">
      <c r="A494" s="7"/>
      <c r="B494" s="8"/>
      <c r="C494" s="9"/>
      <c r="D494" s="9"/>
      <c r="E494" s="9"/>
      <c r="F494" s="9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0.199999999999999" customHeight="1" x14ac:dyDescent="0.25">
      <c r="A495" s="7"/>
      <c r="B495" s="8"/>
      <c r="C495" s="9"/>
      <c r="D495" s="9"/>
      <c r="E495" s="9"/>
      <c r="F495" s="9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0.199999999999999" customHeight="1" x14ac:dyDescent="0.25">
      <c r="A496" s="7"/>
      <c r="B496" s="8"/>
      <c r="C496" s="9"/>
      <c r="D496" s="9"/>
      <c r="E496" s="9"/>
      <c r="F496" s="9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0.199999999999999" customHeight="1" x14ac:dyDescent="0.25">
      <c r="A497" s="7"/>
      <c r="B497" s="8"/>
      <c r="C497" s="9"/>
      <c r="D497" s="9"/>
      <c r="E497" s="9"/>
      <c r="F497" s="9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0.199999999999999" customHeight="1" x14ac:dyDescent="0.25">
      <c r="A498" s="7"/>
      <c r="B498" s="8"/>
      <c r="C498" s="9"/>
      <c r="D498" s="9"/>
      <c r="E498" s="9"/>
      <c r="F498" s="9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0.199999999999999" customHeight="1" x14ac:dyDescent="0.25">
      <c r="A499" s="7"/>
      <c r="B499" s="8"/>
      <c r="C499" s="9"/>
      <c r="D499" s="9"/>
      <c r="E499" s="9"/>
      <c r="F499" s="9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0.199999999999999" customHeight="1" x14ac:dyDescent="0.25">
      <c r="A500" s="7"/>
      <c r="B500" s="8"/>
      <c r="C500" s="9"/>
      <c r="D500" s="9"/>
      <c r="E500" s="9"/>
      <c r="F500" s="9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0.199999999999999" customHeight="1" x14ac:dyDescent="0.25">
      <c r="A501" s="7"/>
      <c r="B501" s="8"/>
      <c r="C501" s="9"/>
      <c r="D501" s="9"/>
      <c r="E501" s="9"/>
      <c r="F501" s="9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0.199999999999999" customHeight="1" x14ac:dyDescent="0.25">
      <c r="A502" s="7"/>
      <c r="B502" s="8"/>
      <c r="C502" s="9"/>
      <c r="D502" s="9"/>
      <c r="E502" s="9"/>
      <c r="F502" s="9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0.199999999999999" customHeight="1" x14ac:dyDescent="0.25">
      <c r="A503" s="7"/>
      <c r="B503" s="8"/>
      <c r="C503" s="9"/>
      <c r="D503" s="9"/>
      <c r="E503" s="9"/>
      <c r="F503" s="9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0.199999999999999" customHeight="1" x14ac:dyDescent="0.25">
      <c r="A504" s="7"/>
      <c r="B504" s="8"/>
      <c r="C504" s="9"/>
      <c r="D504" s="9"/>
      <c r="E504" s="9"/>
      <c r="F504" s="9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0.199999999999999" customHeight="1" x14ac:dyDescent="0.25">
      <c r="A505" s="7"/>
      <c r="B505" s="8"/>
      <c r="C505" s="9"/>
      <c r="D505" s="9"/>
      <c r="E505" s="9"/>
      <c r="F505" s="9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0.199999999999999" customHeight="1" x14ac:dyDescent="0.25">
      <c r="A506" s="7"/>
      <c r="B506" s="8"/>
      <c r="C506" s="9"/>
      <c r="D506" s="9"/>
      <c r="E506" s="9"/>
      <c r="F506" s="9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0.199999999999999" customHeight="1" x14ac:dyDescent="0.25">
      <c r="A507" s="7"/>
      <c r="B507" s="8"/>
      <c r="C507" s="9"/>
      <c r="D507" s="9"/>
      <c r="E507" s="9"/>
      <c r="F507" s="9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0.199999999999999" customHeight="1" x14ac:dyDescent="0.25">
      <c r="A508" s="7"/>
      <c r="B508" s="8"/>
      <c r="C508" s="9"/>
      <c r="D508" s="9"/>
      <c r="E508" s="9"/>
      <c r="F508" s="9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0.199999999999999" customHeight="1" x14ac:dyDescent="0.25">
      <c r="A509" s="7"/>
      <c r="B509" s="8"/>
      <c r="C509" s="9"/>
      <c r="D509" s="9"/>
      <c r="E509" s="9"/>
      <c r="F509" s="9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0.199999999999999" customHeight="1" x14ac:dyDescent="0.25">
      <c r="A510" s="7"/>
      <c r="B510" s="8"/>
      <c r="C510" s="9"/>
      <c r="D510" s="9"/>
      <c r="E510" s="9"/>
      <c r="F510" s="9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0.199999999999999" customHeight="1" x14ac:dyDescent="0.25">
      <c r="A511" s="7"/>
      <c r="B511" s="8"/>
      <c r="C511" s="9"/>
      <c r="D511" s="9"/>
      <c r="E511" s="9"/>
      <c r="F511" s="9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0.199999999999999" customHeight="1" x14ac:dyDescent="0.25">
      <c r="A512" s="7"/>
      <c r="B512" s="8"/>
      <c r="C512" s="9"/>
      <c r="D512" s="9"/>
      <c r="E512" s="9"/>
      <c r="F512" s="9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0.199999999999999" customHeight="1" x14ac:dyDescent="0.25">
      <c r="A513" s="7"/>
      <c r="B513" s="8"/>
      <c r="C513" s="9"/>
      <c r="D513" s="9"/>
      <c r="E513" s="9"/>
      <c r="F513" s="9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0.199999999999999" customHeight="1" x14ac:dyDescent="0.25">
      <c r="A514" s="7"/>
      <c r="B514" s="8"/>
      <c r="C514" s="9"/>
      <c r="D514" s="9"/>
      <c r="E514" s="9"/>
      <c r="F514" s="9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0.199999999999999" customHeight="1" x14ac:dyDescent="0.25">
      <c r="A515" s="7"/>
      <c r="B515" s="8"/>
      <c r="C515" s="9"/>
      <c r="D515" s="9"/>
      <c r="E515" s="9"/>
      <c r="F515" s="9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0.199999999999999" customHeight="1" x14ac:dyDescent="0.25">
      <c r="A516" s="7"/>
      <c r="B516" s="8"/>
      <c r="C516" s="9"/>
      <c r="D516" s="9"/>
      <c r="E516" s="9"/>
      <c r="F516" s="9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0.199999999999999" customHeight="1" x14ac:dyDescent="0.25">
      <c r="A517" s="7"/>
      <c r="B517" s="8"/>
      <c r="C517" s="9"/>
      <c r="D517" s="9"/>
      <c r="E517" s="9"/>
      <c r="F517" s="9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0.199999999999999" customHeight="1" x14ac:dyDescent="0.25">
      <c r="A518" s="7"/>
      <c r="B518" s="8"/>
      <c r="C518" s="9"/>
      <c r="D518" s="9"/>
      <c r="E518" s="9"/>
      <c r="F518" s="9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0.199999999999999" customHeight="1" x14ac:dyDescent="0.25">
      <c r="A519" s="7"/>
      <c r="B519" s="8"/>
      <c r="C519" s="9"/>
      <c r="D519" s="9"/>
      <c r="E519" s="9"/>
      <c r="F519" s="9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0.199999999999999" customHeight="1" x14ac:dyDescent="0.25">
      <c r="A520" s="7"/>
      <c r="B520" s="8"/>
      <c r="C520" s="9"/>
      <c r="D520" s="9"/>
      <c r="E520" s="9"/>
      <c r="F520" s="9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0.199999999999999" customHeight="1" x14ac:dyDescent="0.25">
      <c r="A521" s="7"/>
      <c r="B521" s="8"/>
      <c r="C521" s="9"/>
      <c r="D521" s="9"/>
      <c r="E521" s="9"/>
      <c r="F521" s="9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0.199999999999999" customHeight="1" x14ac:dyDescent="0.25">
      <c r="A522" s="7"/>
      <c r="B522" s="8"/>
      <c r="C522" s="9"/>
      <c r="D522" s="9"/>
      <c r="E522" s="9"/>
      <c r="F522" s="9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0.199999999999999" customHeight="1" x14ac:dyDescent="0.25">
      <c r="A523" s="7"/>
      <c r="B523" s="8"/>
      <c r="C523" s="9"/>
      <c r="D523" s="9"/>
      <c r="E523" s="9"/>
      <c r="F523" s="9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0.199999999999999" customHeight="1" x14ac:dyDescent="0.25">
      <c r="A524" s="7"/>
      <c r="B524" s="8"/>
      <c r="C524" s="9"/>
      <c r="D524" s="9"/>
      <c r="E524" s="9"/>
      <c r="F524" s="9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0.199999999999999" customHeight="1" x14ac:dyDescent="0.25">
      <c r="A525" s="7"/>
      <c r="B525" s="8"/>
      <c r="C525" s="9"/>
      <c r="D525" s="9"/>
      <c r="E525" s="9"/>
      <c r="F525" s="9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0.199999999999999" customHeight="1" x14ac:dyDescent="0.25">
      <c r="A526" s="7"/>
      <c r="B526" s="8"/>
      <c r="C526" s="9"/>
      <c r="D526" s="9"/>
      <c r="E526" s="9"/>
      <c r="F526" s="9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0.199999999999999" customHeight="1" x14ac:dyDescent="0.25">
      <c r="A527" s="7"/>
      <c r="B527" s="8"/>
      <c r="C527" s="9"/>
      <c r="D527" s="9"/>
      <c r="E527" s="9"/>
      <c r="F527" s="9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0.199999999999999" customHeight="1" x14ac:dyDescent="0.25">
      <c r="A528" s="7"/>
      <c r="B528" s="8"/>
      <c r="C528" s="9"/>
      <c r="D528" s="9"/>
      <c r="E528" s="9"/>
      <c r="F528" s="9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0.199999999999999" customHeight="1" x14ac:dyDescent="0.25">
      <c r="A529" s="7"/>
      <c r="B529" s="8"/>
      <c r="C529" s="9"/>
      <c r="D529" s="9"/>
      <c r="E529" s="9"/>
      <c r="F529" s="9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0.199999999999999" customHeight="1" x14ac:dyDescent="0.25">
      <c r="A530" s="7"/>
      <c r="B530" s="8"/>
      <c r="C530" s="9"/>
      <c r="D530" s="9"/>
      <c r="E530" s="9"/>
      <c r="F530" s="9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0.199999999999999" customHeight="1" x14ac:dyDescent="0.25">
      <c r="A531" s="7"/>
      <c r="B531" s="8"/>
      <c r="C531" s="9"/>
      <c r="D531" s="9"/>
      <c r="E531" s="9"/>
      <c r="F531" s="9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0.199999999999999" customHeight="1" x14ac:dyDescent="0.25">
      <c r="A532" s="7"/>
      <c r="B532" s="8"/>
      <c r="C532" s="9"/>
      <c r="D532" s="9"/>
      <c r="E532" s="9"/>
      <c r="F532" s="9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0.199999999999999" customHeight="1" x14ac:dyDescent="0.25">
      <c r="A533" s="7"/>
      <c r="B533" s="8"/>
      <c r="C533" s="9"/>
      <c r="D533" s="9"/>
      <c r="E533" s="9"/>
      <c r="F533" s="9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0.199999999999999" customHeight="1" x14ac:dyDescent="0.25">
      <c r="A534" s="7"/>
      <c r="B534" s="8"/>
      <c r="C534" s="9"/>
      <c r="D534" s="9"/>
      <c r="E534" s="9"/>
      <c r="F534" s="9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0.199999999999999" customHeight="1" x14ac:dyDescent="0.25">
      <c r="A535" s="7"/>
      <c r="B535" s="8"/>
      <c r="C535" s="9"/>
      <c r="D535" s="9"/>
      <c r="E535" s="9"/>
      <c r="F535" s="9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0.199999999999999" customHeight="1" x14ac:dyDescent="0.25">
      <c r="A536" s="7"/>
      <c r="B536" s="8"/>
      <c r="C536" s="9"/>
      <c r="D536" s="9"/>
      <c r="E536" s="9"/>
      <c r="F536" s="9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0.199999999999999" customHeight="1" x14ac:dyDescent="0.25">
      <c r="A537" s="7"/>
      <c r="B537" s="8"/>
      <c r="C537" s="9"/>
      <c r="D537" s="9"/>
      <c r="E537" s="9"/>
      <c r="F537" s="9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0.199999999999999" customHeight="1" x14ac:dyDescent="0.25">
      <c r="A538" s="7"/>
      <c r="B538" s="8"/>
      <c r="C538" s="9"/>
      <c r="D538" s="9"/>
      <c r="E538" s="9"/>
      <c r="F538" s="9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0.199999999999999" customHeight="1" x14ac:dyDescent="0.25">
      <c r="A539" s="7"/>
      <c r="B539" s="8"/>
      <c r="C539" s="9"/>
      <c r="D539" s="9"/>
      <c r="E539" s="9"/>
      <c r="F539" s="9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0.199999999999999" customHeight="1" x14ac:dyDescent="0.25">
      <c r="A540" s="7"/>
      <c r="B540" s="8"/>
      <c r="C540" s="9"/>
      <c r="D540" s="9"/>
      <c r="E540" s="9"/>
      <c r="F540" s="9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0.199999999999999" customHeight="1" x14ac:dyDescent="0.25">
      <c r="A541" s="7"/>
      <c r="B541" s="8"/>
      <c r="C541" s="9"/>
      <c r="D541" s="9"/>
      <c r="E541" s="9"/>
      <c r="F541" s="9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0.199999999999999" customHeight="1" x14ac:dyDescent="0.25">
      <c r="A542" s="7"/>
      <c r="B542" s="8"/>
      <c r="C542" s="9"/>
      <c r="D542" s="9"/>
      <c r="E542" s="9"/>
      <c r="F542" s="9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0.199999999999999" customHeight="1" x14ac:dyDescent="0.25">
      <c r="A543" s="7"/>
      <c r="B543" s="8"/>
      <c r="C543" s="9"/>
      <c r="D543" s="9"/>
      <c r="E543" s="9"/>
      <c r="F543" s="9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0.199999999999999" customHeight="1" x14ac:dyDescent="0.25">
      <c r="A544" s="7"/>
      <c r="B544" s="8"/>
      <c r="C544" s="9"/>
      <c r="D544" s="9"/>
      <c r="E544" s="9"/>
      <c r="F544" s="9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0.199999999999999" customHeight="1" x14ac:dyDescent="0.25">
      <c r="A545" s="7"/>
      <c r="B545" s="8"/>
      <c r="C545" s="9"/>
      <c r="D545" s="9"/>
      <c r="E545" s="9"/>
      <c r="F545" s="9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0.199999999999999" customHeight="1" x14ac:dyDescent="0.25">
      <c r="A546" s="7"/>
      <c r="B546" s="8"/>
      <c r="C546" s="9"/>
      <c r="D546" s="9"/>
      <c r="E546" s="9"/>
      <c r="F546" s="9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0.199999999999999" customHeight="1" x14ac:dyDescent="0.25">
      <c r="A547" s="7"/>
      <c r="B547" s="8"/>
      <c r="C547" s="9"/>
      <c r="D547" s="9"/>
      <c r="E547" s="9"/>
      <c r="F547" s="9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0.199999999999999" customHeight="1" x14ac:dyDescent="0.25">
      <c r="A548" s="7"/>
      <c r="B548" s="8"/>
      <c r="C548" s="9"/>
      <c r="D548" s="9"/>
      <c r="E548" s="9"/>
      <c r="F548" s="9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0.199999999999999" customHeight="1" x14ac:dyDescent="0.25">
      <c r="A549" s="7"/>
      <c r="B549" s="8"/>
      <c r="C549" s="9"/>
      <c r="D549" s="9"/>
      <c r="E549" s="9"/>
      <c r="F549" s="9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0.199999999999999" customHeight="1" x14ac:dyDescent="0.25">
      <c r="A550" s="7"/>
      <c r="B550" s="8"/>
      <c r="C550" s="9"/>
      <c r="D550" s="9"/>
      <c r="E550" s="9"/>
      <c r="F550" s="9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0.199999999999999" customHeight="1" x14ac:dyDescent="0.25">
      <c r="A551" s="7"/>
      <c r="B551" s="8"/>
      <c r="C551" s="9"/>
      <c r="D551" s="9"/>
      <c r="E551" s="9"/>
      <c r="F551" s="9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0.199999999999999" customHeight="1" x14ac:dyDescent="0.25">
      <c r="A552" s="7"/>
      <c r="B552" s="8"/>
      <c r="C552" s="9"/>
      <c r="D552" s="9"/>
      <c r="E552" s="9"/>
      <c r="F552" s="9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0.199999999999999" customHeight="1" x14ac:dyDescent="0.25">
      <c r="A553" s="7"/>
      <c r="B553" s="8"/>
      <c r="C553" s="9"/>
      <c r="D553" s="9"/>
      <c r="E553" s="9"/>
      <c r="F553" s="9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0.199999999999999" customHeight="1" x14ac:dyDescent="0.25">
      <c r="A554" s="7"/>
      <c r="B554" s="8"/>
      <c r="C554" s="9"/>
      <c r="D554" s="9"/>
      <c r="E554" s="9"/>
      <c r="F554" s="9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0.199999999999999" customHeight="1" x14ac:dyDescent="0.25">
      <c r="A555" s="7"/>
      <c r="B555" s="8"/>
      <c r="C555" s="9"/>
      <c r="D555" s="9"/>
      <c r="E555" s="9"/>
      <c r="F555" s="9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0.199999999999999" customHeight="1" x14ac:dyDescent="0.25">
      <c r="A556" s="7"/>
      <c r="B556" s="8"/>
      <c r="C556" s="9"/>
      <c r="D556" s="9"/>
      <c r="E556" s="9"/>
      <c r="F556" s="9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0.199999999999999" customHeight="1" x14ac:dyDescent="0.25">
      <c r="A557" s="7"/>
      <c r="B557" s="8"/>
      <c r="C557" s="9"/>
      <c r="D557" s="9"/>
      <c r="E557" s="9"/>
      <c r="F557" s="9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0.199999999999999" customHeight="1" x14ac:dyDescent="0.25">
      <c r="A558" s="7"/>
      <c r="B558" s="8"/>
      <c r="C558" s="9"/>
      <c r="D558" s="9"/>
      <c r="E558" s="9"/>
      <c r="F558" s="9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0.199999999999999" customHeight="1" x14ac:dyDescent="0.25">
      <c r="A559" s="7"/>
      <c r="B559" s="8"/>
      <c r="C559" s="9"/>
      <c r="D559" s="9"/>
      <c r="E559" s="9"/>
      <c r="F559" s="9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0.199999999999999" customHeight="1" x14ac:dyDescent="0.25">
      <c r="A560" s="7"/>
      <c r="B560" s="8"/>
      <c r="C560" s="9"/>
      <c r="D560" s="9"/>
      <c r="E560" s="9"/>
      <c r="F560" s="9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0.199999999999999" customHeight="1" x14ac:dyDescent="0.25">
      <c r="A561" s="7"/>
      <c r="B561" s="8"/>
      <c r="C561" s="9"/>
      <c r="D561" s="9"/>
      <c r="E561" s="9"/>
      <c r="F561" s="9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0.199999999999999" customHeight="1" x14ac:dyDescent="0.25">
      <c r="A562" s="7"/>
      <c r="B562" s="8"/>
      <c r="C562" s="9"/>
      <c r="D562" s="9"/>
      <c r="E562" s="9"/>
      <c r="F562" s="9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0.199999999999999" customHeight="1" x14ac:dyDescent="0.25">
      <c r="A563" s="7"/>
      <c r="B563" s="8"/>
      <c r="C563" s="9"/>
      <c r="D563" s="9"/>
      <c r="E563" s="9"/>
      <c r="F563" s="9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0.199999999999999" customHeight="1" x14ac:dyDescent="0.25">
      <c r="A564" s="7"/>
      <c r="B564" s="8"/>
      <c r="C564" s="9"/>
      <c r="D564" s="9"/>
      <c r="E564" s="9"/>
      <c r="F564" s="9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0.199999999999999" customHeight="1" x14ac:dyDescent="0.25">
      <c r="A565" s="7"/>
      <c r="B565" s="8"/>
      <c r="C565" s="9"/>
      <c r="D565" s="9"/>
      <c r="E565" s="9"/>
      <c r="F565" s="9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0.199999999999999" customHeight="1" x14ac:dyDescent="0.25">
      <c r="A566" s="7"/>
      <c r="B566" s="8"/>
      <c r="C566" s="9"/>
      <c r="D566" s="9"/>
      <c r="E566" s="9"/>
      <c r="F566" s="9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0.199999999999999" customHeight="1" x14ac:dyDescent="0.25">
      <c r="A567" s="7"/>
      <c r="B567" s="8"/>
      <c r="C567" s="9"/>
      <c r="D567" s="9"/>
      <c r="E567" s="9"/>
      <c r="F567" s="9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0.199999999999999" customHeight="1" x14ac:dyDescent="0.25">
      <c r="A568" s="7"/>
      <c r="B568" s="8"/>
      <c r="C568" s="9"/>
      <c r="D568" s="9"/>
      <c r="E568" s="9"/>
      <c r="F568" s="9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0.199999999999999" customHeight="1" x14ac:dyDescent="0.25">
      <c r="A569" s="7"/>
      <c r="B569" s="8"/>
      <c r="C569" s="9"/>
      <c r="D569" s="9"/>
      <c r="E569" s="9"/>
      <c r="F569" s="9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0.199999999999999" customHeight="1" x14ac:dyDescent="0.25">
      <c r="A570" s="7"/>
      <c r="B570" s="8"/>
      <c r="C570" s="9"/>
      <c r="D570" s="9"/>
      <c r="E570" s="9"/>
      <c r="F570" s="9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0.199999999999999" customHeight="1" x14ac:dyDescent="0.25">
      <c r="A571" s="7"/>
      <c r="B571" s="8"/>
      <c r="C571" s="9"/>
      <c r="D571" s="9"/>
      <c r="E571" s="9"/>
      <c r="F571" s="9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0.199999999999999" customHeight="1" x14ac:dyDescent="0.25">
      <c r="A572" s="7"/>
      <c r="B572" s="8"/>
      <c r="C572" s="9"/>
      <c r="D572" s="9"/>
      <c r="E572" s="9"/>
      <c r="F572" s="9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0.199999999999999" customHeight="1" x14ac:dyDescent="0.25">
      <c r="A573" s="7"/>
      <c r="B573" s="8"/>
      <c r="C573" s="9"/>
      <c r="D573" s="9"/>
      <c r="E573" s="9"/>
      <c r="F573" s="9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0.199999999999999" customHeight="1" x14ac:dyDescent="0.25">
      <c r="A574" s="7"/>
      <c r="B574" s="8"/>
      <c r="C574" s="9"/>
      <c r="D574" s="9"/>
      <c r="E574" s="9"/>
      <c r="F574" s="9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0.199999999999999" customHeight="1" x14ac:dyDescent="0.25">
      <c r="A575" s="7"/>
      <c r="B575" s="8"/>
      <c r="C575" s="9"/>
      <c r="D575" s="9"/>
      <c r="E575" s="9"/>
      <c r="F575" s="9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0.199999999999999" customHeight="1" x14ac:dyDescent="0.25">
      <c r="A576" s="7"/>
      <c r="B576" s="8"/>
      <c r="C576" s="9"/>
      <c r="D576" s="9"/>
      <c r="E576" s="9"/>
      <c r="F576" s="9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0.199999999999999" customHeight="1" x14ac:dyDescent="0.25">
      <c r="A577" s="7"/>
      <c r="B577" s="8"/>
      <c r="C577" s="9"/>
      <c r="D577" s="9"/>
      <c r="E577" s="9"/>
      <c r="F577" s="9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0.199999999999999" customHeight="1" x14ac:dyDescent="0.25">
      <c r="A578" s="7"/>
      <c r="B578" s="8"/>
      <c r="C578" s="9"/>
      <c r="D578" s="9"/>
      <c r="E578" s="9"/>
      <c r="F578" s="9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0.199999999999999" customHeight="1" x14ac:dyDescent="0.25">
      <c r="A579" s="7"/>
      <c r="B579" s="8"/>
      <c r="C579" s="9"/>
      <c r="D579" s="9"/>
      <c r="E579" s="9"/>
      <c r="F579" s="9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0.199999999999999" customHeight="1" x14ac:dyDescent="0.25">
      <c r="A580" s="7"/>
      <c r="B580" s="8"/>
      <c r="C580" s="9"/>
      <c r="D580" s="9"/>
      <c r="E580" s="9"/>
      <c r="F580" s="9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0.199999999999999" customHeight="1" x14ac:dyDescent="0.25">
      <c r="A581" s="7"/>
      <c r="B581" s="8"/>
      <c r="C581" s="9"/>
      <c r="D581" s="9"/>
      <c r="E581" s="9"/>
      <c r="F581" s="9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0.199999999999999" customHeight="1" x14ac:dyDescent="0.25">
      <c r="A582" s="7"/>
      <c r="B582" s="8"/>
      <c r="C582" s="9"/>
      <c r="D582" s="9"/>
      <c r="E582" s="9"/>
      <c r="F582" s="9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0.199999999999999" customHeight="1" x14ac:dyDescent="0.25">
      <c r="A583" s="7"/>
      <c r="B583" s="8"/>
      <c r="C583" s="9"/>
      <c r="D583" s="9"/>
      <c r="E583" s="9"/>
      <c r="F583" s="9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0.199999999999999" customHeight="1" x14ac:dyDescent="0.25">
      <c r="A584" s="7"/>
      <c r="B584" s="8"/>
      <c r="C584" s="9"/>
      <c r="D584" s="9"/>
      <c r="E584" s="9"/>
      <c r="F584" s="9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0.199999999999999" customHeight="1" x14ac:dyDescent="0.25">
      <c r="A585" s="7"/>
      <c r="B585" s="8"/>
      <c r="C585" s="9"/>
      <c r="D585" s="9"/>
      <c r="E585" s="9"/>
      <c r="F585" s="9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0.199999999999999" customHeight="1" x14ac:dyDescent="0.25">
      <c r="A586" s="7"/>
      <c r="B586" s="8"/>
      <c r="C586" s="9"/>
      <c r="D586" s="9"/>
      <c r="E586" s="9"/>
      <c r="F586" s="9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0.199999999999999" customHeight="1" x14ac:dyDescent="0.25">
      <c r="A587" s="7"/>
      <c r="B587" s="8"/>
      <c r="C587" s="9"/>
      <c r="D587" s="9"/>
      <c r="E587" s="9"/>
      <c r="F587" s="9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0.199999999999999" customHeight="1" x14ac:dyDescent="0.25">
      <c r="A588" s="7"/>
      <c r="B588" s="8"/>
      <c r="C588" s="9"/>
      <c r="D588" s="9"/>
      <c r="E588" s="9"/>
      <c r="F588" s="9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0.199999999999999" customHeight="1" x14ac:dyDescent="0.25">
      <c r="A589" s="7"/>
      <c r="B589" s="8"/>
      <c r="C589" s="9"/>
      <c r="D589" s="9"/>
      <c r="E589" s="9"/>
      <c r="F589" s="9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0.199999999999999" customHeight="1" x14ac:dyDescent="0.25">
      <c r="A590" s="7"/>
      <c r="B590" s="8"/>
      <c r="C590" s="9"/>
      <c r="D590" s="9"/>
      <c r="E590" s="9"/>
      <c r="F590" s="9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0.199999999999999" customHeight="1" x14ac:dyDescent="0.25">
      <c r="A591" s="7"/>
      <c r="B591" s="8"/>
      <c r="C591" s="9"/>
      <c r="D591" s="9"/>
      <c r="E591" s="9"/>
      <c r="F591" s="9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0.199999999999999" customHeight="1" x14ac:dyDescent="0.25">
      <c r="A592" s="7"/>
      <c r="B592" s="8"/>
      <c r="C592" s="9"/>
      <c r="D592" s="9"/>
      <c r="E592" s="9"/>
      <c r="F592" s="9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0.199999999999999" customHeight="1" x14ac:dyDescent="0.25">
      <c r="A593" s="7"/>
      <c r="B593" s="8"/>
      <c r="C593" s="9"/>
      <c r="D593" s="9"/>
      <c r="E593" s="9"/>
      <c r="F593" s="9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0.199999999999999" customHeight="1" x14ac:dyDescent="0.25">
      <c r="A594" s="7"/>
      <c r="B594" s="8"/>
      <c r="C594" s="9"/>
      <c r="D594" s="9"/>
      <c r="E594" s="9"/>
      <c r="F594" s="9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0.199999999999999" customHeight="1" x14ac:dyDescent="0.25">
      <c r="A595" s="7"/>
      <c r="B595" s="8"/>
      <c r="C595" s="9"/>
      <c r="D595" s="9"/>
      <c r="E595" s="9"/>
      <c r="F595" s="9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0.199999999999999" customHeight="1" x14ac:dyDescent="0.25">
      <c r="A596" s="7"/>
      <c r="B596" s="8"/>
      <c r="C596" s="9"/>
      <c r="D596" s="9"/>
      <c r="E596" s="9"/>
      <c r="F596" s="9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0.199999999999999" customHeight="1" x14ac:dyDescent="0.25">
      <c r="A597" s="7"/>
      <c r="B597" s="8"/>
      <c r="C597" s="9"/>
      <c r="D597" s="9"/>
      <c r="E597" s="9"/>
      <c r="F597" s="9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0.199999999999999" customHeight="1" x14ac:dyDescent="0.25">
      <c r="A598" s="7"/>
      <c r="B598" s="8"/>
      <c r="C598" s="9"/>
      <c r="D598" s="9"/>
      <c r="E598" s="9"/>
      <c r="F598" s="9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0.199999999999999" customHeight="1" x14ac:dyDescent="0.25">
      <c r="A599" s="7"/>
      <c r="B599" s="8"/>
      <c r="C599" s="9"/>
      <c r="D599" s="9"/>
      <c r="E599" s="9"/>
      <c r="F599" s="9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0.199999999999999" customHeight="1" x14ac:dyDescent="0.25">
      <c r="A600" s="7"/>
      <c r="B600" s="8"/>
      <c r="C600" s="9"/>
      <c r="D600" s="9"/>
      <c r="E600" s="9"/>
      <c r="F600" s="9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0.199999999999999" customHeight="1" x14ac:dyDescent="0.25">
      <c r="A601" s="7"/>
      <c r="B601" s="8"/>
      <c r="C601" s="9"/>
      <c r="D601" s="9"/>
      <c r="E601" s="9"/>
      <c r="F601" s="9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0.199999999999999" customHeight="1" x14ac:dyDescent="0.25">
      <c r="A602" s="7"/>
      <c r="B602" s="8"/>
      <c r="C602" s="9"/>
      <c r="D602" s="9"/>
      <c r="E602" s="9"/>
      <c r="F602" s="9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0.199999999999999" customHeight="1" x14ac:dyDescent="0.25">
      <c r="A603" s="7"/>
      <c r="B603" s="8"/>
      <c r="C603" s="9"/>
      <c r="D603" s="9"/>
      <c r="E603" s="9"/>
      <c r="F603" s="9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0.199999999999999" customHeight="1" x14ac:dyDescent="0.25">
      <c r="A604" s="7"/>
      <c r="B604" s="8"/>
      <c r="C604" s="9"/>
      <c r="D604" s="9"/>
      <c r="E604" s="9"/>
      <c r="F604" s="9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0.199999999999999" customHeight="1" x14ac:dyDescent="0.25">
      <c r="A605" s="7"/>
      <c r="B605" s="8"/>
      <c r="C605" s="9"/>
      <c r="D605" s="9"/>
      <c r="E605" s="9"/>
      <c r="F605" s="9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0.199999999999999" customHeight="1" x14ac:dyDescent="0.25">
      <c r="A606" s="7"/>
      <c r="B606" s="8"/>
      <c r="C606" s="9"/>
      <c r="D606" s="9"/>
      <c r="E606" s="9"/>
      <c r="F606" s="9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0.199999999999999" customHeight="1" x14ac:dyDescent="0.25">
      <c r="A607" s="7"/>
      <c r="B607" s="8"/>
      <c r="C607" s="9"/>
      <c r="D607" s="9"/>
      <c r="E607" s="9"/>
      <c r="F607" s="9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0.199999999999999" customHeight="1" x14ac:dyDescent="0.25">
      <c r="A608" s="7"/>
      <c r="B608" s="8"/>
      <c r="C608" s="9"/>
      <c r="D608" s="9"/>
      <c r="E608" s="9"/>
      <c r="F608" s="9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0.199999999999999" customHeight="1" x14ac:dyDescent="0.25">
      <c r="A609" s="7"/>
      <c r="B609" s="8"/>
      <c r="C609" s="9"/>
      <c r="D609" s="9"/>
      <c r="E609" s="9"/>
      <c r="F609" s="9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0.199999999999999" customHeight="1" x14ac:dyDescent="0.25">
      <c r="A610" s="7"/>
      <c r="B610" s="8"/>
      <c r="C610" s="9"/>
      <c r="D610" s="9"/>
      <c r="E610" s="9"/>
      <c r="F610" s="9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0.199999999999999" customHeight="1" x14ac:dyDescent="0.25">
      <c r="A611" s="7"/>
      <c r="B611" s="8"/>
      <c r="C611" s="9"/>
      <c r="D611" s="9"/>
      <c r="E611" s="9"/>
      <c r="F611" s="9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0.199999999999999" customHeight="1" x14ac:dyDescent="0.25">
      <c r="A612" s="7"/>
      <c r="B612" s="8"/>
      <c r="C612" s="9"/>
      <c r="D612" s="9"/>
      <c r="E612" s="9"/>
      <c r="F612" s="9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0.199999999999999" customHeight="1" x14ac:dyDescent="0.25">
      <c r="A613" s="7"/>
      <c r="B613" s="8"/>
      <c r="C613" s="9"/>
      <c r="D613" s="9"/>
      <c r="E613" s="9"/>
      <c r="F613" s="9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0.199999999999999" customHeight="1" x14ac:dyDescent="0.25">
      <c r="A614" s="7"/>
      <c r="B614" s="8"/>
      <c r="C614" s="9"/>
      <c r="D614" s="9"/>
      <c r="E614" s="9"/>
      <c r="F614" s="9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0.199999999999999" customHeight="1" x14ac:dyDescent="0.25">
      <c r="A615" s="7"/>
      <c r="B615" s="8"/>
      <c r="C615" s="9"/>
      <c r="D615" s="9"/>
      <c r="E615" s="9"/>
      <c r="F615" s="9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0.199999999999999" customHeight="1" x14ac:dyDescent="0.25">
      <c r="A616" s="7"/>
      <c r="B616" s="8"/>
      <c r="C616" s="9"/>
      <c r="D616" s="9"/>
      <c r="E616" s="9"/>
      <c r="F616" s="9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0.199999999999999" customHeight="1" x14ac:dyDescent="0.25">
      <c r="A617" s="7"/>
      <c r="B617" s="8"/>
      <c r="C617" s="9"/>
      <c r="D617" s="9"/>
      <c r="E617" s="9"/>
      <c r="F617" s="9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0.199999999999999" customHeight="1" x14ac:dyDescent="0.25">
      <c r="A618" s="7"/>
      <c r="B618" s="8"/>
      <c r="C618" s="9"/>
      <c r="D618" s="9"/>
      <c r="E618" s="9"/>
      <c r="F618" s="9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0.199999999999999" customHeight="1" x14ac:dyDescent="0.25">
      <c r="A619" s="7"/>
      <c r="B619" s="8"/>
      <c r="C619" s="9"/>
      <c r="D619" s="9"/>
      <c r="E619" s="9"/>
      <c r="F619" s="9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0.199999999999999" customHeight="1" x14ac:dyDescent="0.25">
      <c r="A620" s="7"/>
      <c r="B620" s="8"/>
      <c r="C620" s="9"/>
      <c r="D620" s="9"/>
      <c r="E620" s="9"/>
      <c r="F620" s="9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0.199999999999999" customHeight="1" x14ac:dyDescent="0.25">
      <c r="A621" s="7"/>
      <c r="B621" s="8"/>
      <c r="C621" s="9"/>
      <c r="D621" s="9"/>
      <c r="E621" s="9"/>
      <c r="F621" s="9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0.199999999999999" customHeight="1" x14ac:dyDescent="0.25">
      <c r="A622" s="7"/>
      <c r="B622" s="8"/>
      <c r="C622" s="9"/>
      <c r="D622" s="9"/>
      <c r="E622" s="9"/>
      <c r="F622" s="9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0.199999999999999" customHeight="1" x14ac:dyDescent="0.25">
      <c r="A623" s="7"/>
      <c r="B623" s="8"/>
      <c r="C623" s="9"/>
      <c r="D623" s="9"/>
      <c r="E623" s="9"/>
      <c r="F623" s="9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0.199999999999999" customHeight="1" x14ac:dyDescent="0.25">
      <c r="A624" s="7"/>
      <c r="B624" s="8"/>
      <c r="C624" s="9"/>
      <c r="D624" s="9"/>
      <c r="E624" s="9"/>
      <c r="F624" s="9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0.199999999999999" customHeight="1" x14ac:dyDescent="0.25">
      <c r="A625" s="7"/>
      <c r="B625" s="8"/>
      <c r="C625" s="9"/>
      <c r="D625" s="9"/>
      <c r="E625" s="9"/>
      <c r="F625" s="9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0.199999999999999" customHeight="1" x14ac:dyDescent="0.25">
      <c r="A626" s="7"/>
      <c r="B626" s="8"/>
      <c r="C626" s="9"/>
      <c r="D626" s="9"/>
      <c r="E626" s="9"/>
      <c r="F626" s="9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0.199999999999999" customHeight="1" x14ac:dyDescent="0.25">
      <c r="A627" s="7"/>
      <c r="B627" s="8"/>
      <c r="C627" s="9"/>
      <c r="D627" s="9"/>
      <c r="E627" s="9"/>
      <c r="F627" s="9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0.199999999999999" customHeight="1" x14ac:dyDescent="0.25">
      <c r="A628" s="7"/>
      <c r="B628" s="8"/>
      <c r="C628" s="9"/>
      <c r="D628" s="9"/>
      <c r="E628" s="9"/>
      <c r="F628" s="9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0.199999999999999" customHeight="1" x14ac:dyDescent="0.25">
      <c r="A629" s="7"/>
      <c r="B629" s="8"/>
      <c r="C629" s="9"/>
      <c r="D629" s="9"/>
      <c r="E629" s="9"/>
      <c r="F629" s="9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0.199999999999999" customHeight="1" x14ac:dyDescent="0.25">
      <c r="A630" s="7"/>
      <c r="B630" s="8"/>
      <c r="C630" s="9"/>
      <c r="D630" s="9"/>
      <c r="E630" s="9"/>
      <c r="F630" s="9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0.199999999999999" customHeight="1" x14ac:dyDescent="0.25">
      <c r="A631" s="7"/>
      <c r="B631" s="8"/>
      <c r="C631" s="9"/>
      <c r="D631" s="9"/>
      <c r="E631" s="9"/>
      <c r="F631" s="9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0.199999999999999" customHeight="1" x14ac:dyDescent="0.25">
      <c r="A632" s="7"/>
      <c r="B632" s="8"/>
      <c r="C632" s="9"/>
      <c r="D632" s="9"/>
      <c r="E632" s="9"/>
      <c r="F632" s="9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0.199999999999999" customHeight="1" x14ac:dyDescent="0.25">
      <c r="A633" s="7"/>
      <c r="B633" s="8"/>
      <c r="C633" s="9"/>
      <c r="D633" s="9"/>
      <c r="E633" s="9"/>
      <c r="F633" s="9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0.199999999999999" customHeight="1" x14ac:dyDescent="0.25">
      <c r="A634" s="7"/>
      <c r="B634" s="8"/>
      <c r="C634" s="9"/>
      <c r="D634" s="9"/>
      <c r="E634" s="9"/>
      <c r="F634" s="9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0.199999999999999" customHeight="1" x14ac:dyDescent="0.25">
      <c r="A635" s="7"/>
      <c r="B635" s="8"/>
      <c r="C635" s="9"/>
      <c r="D635" s="9"/>
      <c r="E635" s="9"/>
      <c r="F635" s="9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0.199999999999999" customHeight="1" x14ac:dyDescent="0.25">
      <c r="A636" s="7"/>
      <c r="B636" s="8"/>
      <c r="C636" s="9"/>
      <c r="D636" s="9"/>
      <c r="E636" s="9"/>
      <c r="F636" s="9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0.199999999999999" customHeight="1" x14ac:dyDescent="0.25">
      <c r="A637" s="7"/>
      <c r="B637" s="8"/>
      <c r="C637" s="9"/>
      <c r="D637" s="9"/>
      <c r="E637" s="9"/>
      <c r="F637" s="9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0.199999999999999" customHeight="1" x14ac:dyDescent="0.25">
      <c r="A638" s="7"/>
      <c r="B638" s="8"/>
      <c r="C638" s="9"/>
      <c r="D638" s="9"/>
      <c r="E638" s="9"/>
      <c r="F638" s="9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0.199999999999999" customHeight="1" x14ac:dyDescent="0.25">
      <c r="A639" s="7"/>
      <c r="B639" s="8"/>
      <c r="C639" s="9"/>
      <c r="D639" s="9"/>
      <c r="E639" s="9"/>
      <c r="F639" s="9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0.199999999999999" customHeight="1" x14ac:dyDescent="0.25">
      <c r="A640" s="7"/>
      <c r="B640" s="8"/>
      <c r="C640" s="9"/>
      <c r="D640" s="9"/>
      <c r="E640" s="9"/>
      <c r="F640" s="9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0.199999999999999" customHeight="1" x14ac:dyDescent="0.25">
      <c r="A641" s="7"/>
      <c r="B641" s="8"/>
      <c r="C641" s="9"/>
      <c r="D641" s="9"/>
      <c r="E641" s="9"/>
      <c r="F641" s="9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0.199999999999999" customHeight="1" x14ac:dyDescent="0.25">
      <c r="A642" s="7"/>
      <c r="B642" s="8"/>
      <c r="C642" s="9"/>
      <c r="D642" s="9"/>
      <c r="E642" s="9"/>
      <c r="F642" s="9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0.199999999999999" customHeight="1" x14ac:dyDescent="0.25">
      <c r="A643" s="7"/>
      <c r="B643" s="8"/>
      <c r="C643" s="9"/>
      <c r="D643" s="9"/>
      <c r="E643" s="9"/>
      <c r="F643" s="9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0.199999999999999" customHeight="1" x14ac:dyDescent="0.25">
      <c r="A644" s="7"/>
      <c r="B644" s="8"/>
      <c r="C644" s="9"/>
      <c r="D644" s="9"/>
      <c r="E644" s="9"/>
      <c r="F644" s="9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0.199999999999999" customHeight="1" x14ac:dyDescent="0.25">
      <c r="A645" s="7"/>
      <c r="B645" s="8"/>
      <c r="C645" s="9"/>
      <c r="D645" s="9"/>
      <c r="E645" s="9"/>
      <c r="F645" s="9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0.199999999999999" customHeight="1" x14ac:dyDescent="0.25">
      <c r="A646" s="7"/>
      <c r="B646" s="8"/>
      <c r="C646" s="9"/>
      <c r="D646" s="9"/>
      <c r="E646" s="9"/>
      <c r="F646" s="9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0.199999999999999" customHeight="1" x14ac:dyDescent="0.25">
      <c r="A647" s="7"/>
      <c r="B647" s="8"/>
      <c r="C647" s="9"/>
      <c r="D647" s="9"/>
      <c r="E647" s="9"/>
      <c r="F647" s="9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0.199999999999999" customHeight="1" x14ac:dyDescent="0.25">
      <c r="A648" s="7"/>
      <c r="B648" s="8"/>
      <c r="C648" s="9"/>
      <c r="D648" s="9"/>
      <c r="E648" s="9"/>
      <c r="F648" s="9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0.199999999999999" customHeight="1" x14ac:dyDescent="0.25">
      <c r="A649" s="7"/>
      <c r="B649" s="8"/>
      <c r="C649" s="9"/>
      <c r="D649" s="9"/>
      <c r="E649" s="9"/>
      <c r="F649" s="9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0.199999999999999" customHeight="1" x14ac:dyDescent="0.25">
      <c r="A650" s="7"/>
      <c r="B650" s="8"/>
      <c r="C650" s="9"/>
      <c r="D650" s="9"/>
      <c r="E650" s="9"/>
      <c r="F650" s="9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0.199999999999999" customHeight="1" x14ac:dyDescent="0.25">
      <c r="A651" s="7"/>
      <c r="B651" s="8"/>
      <c r="C651" s="9"/>
      <c r="D651" s="9"/>
      <c r="E651" s="9"/>
      <c r="F651" s="9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0.199999999999999" customHeight="1" x14ac:dyDescent="0.25">
      <c r="A652" s="7"/>
      <c r="B652" s="8"/>
      <c r="C652" s="9"/>
      <c r="D652" s="9"/>
      <c r="E652" s="9"/>
      <c r="F652" s="9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0.199999999999999" customHeight="1" x14ac:dyDescent="0.25">
      <c r="A653" s="7"/>
      <c r="B653" s="8"/>
      <c r="C653" s="9"/>
      <c r="D653" s="9"/>
      <c r="E653" s="9"/>
      <c r="F653" s="9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0.199999999999999" customHeight="1" x14ac:dyDescent="0.25">
      <c r="A654" s="7"/>
      <c r="B654" s="8"/>
      <c r="C654" s="9"/>
      <c r="D654" s="9"/>
      <c r="E654" s="9"/>
      <c r="F654" s="9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0.199999999999999" customHeight="1" x14ac:dyDescent="0.25">
      <c r="A655" s="7"/>
      <c r="B655" s="8"/>
      <c r="C655" s="9"/>
      <c r="D655" s="9"/>
      <c r="E655" s="9"/>
      <c r="F655" s="9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0.199999999999999" customHeight="1" x14ac:dyDescent="0.25">
      <c r="A656" s="7"/>
      <c r="B656" s="8"/>
      <c r="C656" s="9"/>
      <c r="D656" s="9"/>
      <c r="E656" s="9"/>
      <c r="F656" s="9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0.199999999999999" customHeight="1" x14ac:dyDescent="0.25">
      <c r="A657" s="7"/>
      <c r="B657" s="8"/>
      <c r="C657" s="9"/>
      <c r="D657" s="9"/>
      <c r="E657" s="9"/>
      <c r="F657" s="9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0.199999999999999" customHeight="1" x14ac:dyDescent="0.25">
      <c r="A658" s="7"/>
      <c r="B658" s="8"/>
      <c r="C658" s="9"/>
      <c r="D658" s="9"/>
      <c r="E658" s="9"/>
      <c r="F658" s="9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0.199999999999999" customHeight="1" x14ac:dyDescent="0.25">
      <c r="A659" s="7"/>
      <c r="B659" s="8"/>
      <c r="C659" s="9"/>
      <c r="D659" s="9"/>
      <c r="E659" s="9"/>
      <c r="F659" s="9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0.199999999999999" customHeight="1" x14ac:dyDescent="0.25">
      <c r="A660" s="7"/>
      <c r="B660" s="8"/>
      <c r="C660" s="9"/>
      <c r="D660" s="9"/>
      <c r="E660" s="9"/>
      <c r="F660" s="9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0.199999999999999" customHeight="1" x14ac:dyDescent="0.25">
      <c r="A661" s="7"/>
      <c r="B661" s="8"/>
      <c r="C661" s="9"/>
      <c r="D661" s="9"/>
      <c r="E661" s="9"/>
      <c r="F661" s="9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0.199999999999999" customHeight="1" x14ac:dyDescent="0.25">
      <c r="A662" s="7"/>
      <c r="B662" s="8"/>
      <c r="C662" s="9"/>
      <c r="D662" s="9"/>
      <c r="E662" s="9"/>
      <c r="F662" s="9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0.199999999999999" customHeight="1" x14ac:dyDescent="0.25">
      <c r="A663" s="7"/>
      <c r="B663" s="8"/>
      <c r="C663" s="9"/>
      <c r="D663" s="9"/>
      <c r="E663" s="9"/>
      <c r="F663" s="9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0.199999999999999" customHeight="1" x14ac:dyDescent="0.25">
      <c r="A664" s="7"/>
      <c r="B664" s="8"/>
      <c r="C664" s="9"/>
      <c r="D664" s="9"/>
      <c r="E664" s="9"/>
      <c r="F664" s="9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0.199999999999999" customHeight="1" x14ac:dyDescent="0.25">
      <c r="A665" s="7"/>
      <c r="B665" s="8"/>
      <c r="C665" s="9"/>
      <c r="D665" s="9"/>
      <c r="E665" s="9"/>
      <c r="F665" s="9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0.199999999999999" customHeight="1" x14ac:dyDescent="0.25">
      <c r="A666" s="7"/>
      <c r="B666" s="8"/>
      <c r="C666" s="9"/>
      <c r="D666" s="9"/>
      <c r="E666" s="9"/>
      <c r="F666" s="9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0.199999999999999" customHeight="1" x14ac:dyDescent="0.25">
      <c r="A667" s="7"/>
      <c r="B667" s="8"/>
      <c r="C667" s="9"/>
      <c r="D667" s="9"/>
      <c r="E667" s="9"/>
      <c r="F667" s="9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0.199999999999999" customHeight="1" x14ac:dyDescent="0.25">
      <c r="A668" s="7"/>
      <c r="B668" s="8"/>
      <c r="C668" s="9"/>
      <c r="D668" s="9"/>
      <c r="E668" s="9"/>
      <c r="F668" s="9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0.199999999999999" customHeight="1" x14ac:dyDescent="0.25">
      <c r="A669" s="7"/>
      <c r="B669" s="8"/>
      <c r="C669" s="9"/>
      <c r="D669" s="9"/>
      <c r="E669" s="9"/>
      <c r="F669" s="9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0.199999999999999" customHeight="1" x14ac:dyDescent="0.25">
      <c r="A670" s="7"/>
      <c r="B670" s="8"/>
      <c r="C670" s="9"/>
      <c r="D670" s="9"/>
      <c r="E670" s="9"/>
      <c r="F670" s="9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0.199999999999999" customHeight="1" x14ac:dyDescent="0.25">
      <c r="A671" s="7"/>
      <c r="B671" s="8"/>
      <c r="C671" s="9"/>
      <c r="D671" s="9"/>
      <c r="E671" s="9"/>
      <c r="F671" s="9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0.199999999999999" customHeight="1" x14ac:dyDescent="0.25">
      <c r="A672" s="7"/>
      <c r="B672" s="8"/>
      <c r="C672" s="9"/>
      <c r="D672" s="9"/>
      <c r="E672" s="9"/>
      <c r="F672" s="9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0.199999999999999" customHeight="1" x14ac:dyDescent="0.25">
      <c r="A673" s="7"/>
      <c r="B673" s="8"/>
      <c r="C673" s="9"/>
      <c r="D673" s="9"/>
      <c r="E673" s="9"/>
      <c r="F673" s="9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0.199999999999999" customHeight="1" x14ac:dyDescent="0.25">
      <c r="A674" s="7"/>
      <c r="B674" s="8"/>
      <c r="C674" s="9"/>
      <c r="D674" s="9"/>
      <c r="E674" s="9"/>
      <c r="F674" s="9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0.199999999999999" customHeight="1" x14ac:dyDescent="0.25">
      <c r="A675" s="7"/>
      <c r="B675" s="8"/>
      <c r="C675" s="9"/>
      <c r="D675" s="9"/>
      <c r="E675" s="9"/>
      <c r="F675" s="9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0.199999999999999" customHeight="1" x14ac:dyDescent="0.25">
      <c r="A676" s="7"/>
      <c r="B676" s="8"/>
      <c r="C676" s="9"/>
      <c r="D676" s="9"/>
      <c r="E676" s="9"/>
      <c r="F676" s="9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0.199999999999999" customHeight="1" x14ac:dyDescent="0.25">
      <c r="A677" s="7"/>
      <c r="B677" s="8"/>
      <c r="C677" s="9"/>
      <c r="D677" s="9"/>
      <c r="E677" s="9"/>
      <c r="F677" s="9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0.199999999999999" customHeight="1" x14ac:dyDescent="0.25">
      <c r="A678" s="7"/>
      <c r="B678" s="8"/>
      <c r="C678" s="9"/>
      <c r="D678" s="9"/>
      <c r="E678" s="9"/>
      <c r="F678" s="9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0.199999999999999" customHeight="1" x14ac:dyDescent="0.25">
      <c r="A679" s="7"/>
      <c r="B679" s="8"/>
      <c r="C679" s="9"/>
      <c r="D679" s="9"/>
      <c r="E679" s="9"/>
      <c r="F679" s="9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0.199999999999999" customHeight="1" x14ac:dyDescent="0.25">
      <c r="A680" s="7"/>
      <c r="B680" s="8"/>
      <c r="C680" s="9"/>
      <c r="D680" s="9"/>
      <c r="E680" s="9"/>
      <c r="F680" s="9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0.199999999999999" customHeight="1" x14ac:dyDescent="0.25">
      <c r="A681" s="7"/>
      <c r="B681" s="8"/>
      <c r="C681" s="9"/>
      <c r="D681" s="9"/>
      <c r="E681" s="9"/>
      <c r="F681" s="9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0.199999999999999" customHeight="1" x14ac:dyDescent="0.25">
      <c r="A682" s="7"/>
      <c r="B682" s="8"/>
      <c r="C682" s="9"/>
      <c r="D682" s="9"/>
      <c r="E682" s="9"/>
      <c r="F682" s="9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0.199999999999999" customHeight="1" x14ac:dyDescent="0.25">
      <c r="A683" s="7"/>
      <c r="B683" s="8"/>
      <c r="C683" s="9"/>
      <c r="D683" s="9"/>
      <c r="E683" s="9"/>
      <c r="F683" s="9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0.199999999999999" customHeight="1" x14ac:dyDescent="0.25">
      <c r="A684" s="7"/>
      <c r="B684" s="8"/>
      <c r="C684" s="9"/>
      <c r="D684" s="9"/>
      <c r="E684" s="9"/>
      <c r="F684" s="9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0.199999999999999" customHeight="1" x14ac:dyDescent="0.25">
      <c r="A685" s="7"/>
      <c r="B685" s="8"/>
      <c r="C685" s="9"/>
      <c r="D685" s="9"/>
      <c r="E685" s="9"/>
      <c r="F685" s="9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0.199999999999999" customHeight="1" x14ac:dyDescent="0.25">
      <c r="A686" s="7"/>
      <c r="B686" s="8"/>
      <c r="C686" s="9"/>
      <c r="D686" s="9"/>
      <c r="E686" s="9"/>
      <c r="F686" s="9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0.199999999999999" customHeight="1" x14ac:dyDescent="0.25">
      <c r="A687" s="7"/>
      <c r="B687" s="8"/>
      <c r="C687" s="9"/>
      <c r="D687" s="9"/>
      <c r="E687" s="9"/>
      <c r="F687" s="9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0.199999999999999" customHeight="1" x14ac:dyDescent="0.25">
      <c r="A688" s="7"/>
      <c r="B688" s="8"/>
      <c r="C688" s="9"/>
      <c r="D688" s="9"/>
      <c r="E688" s="9"/>
      <c r="F688" s="9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0.199999999999999" customHeight="1" x14ac:dyDescent="0.25">
      <c r="A689" s="7"/>
      <c r="B689" s="8"/>
      <c r="C689" s="9"/>
      <c r="D689" s="9"/>
      <c r="E689" s="9"/>
      <c r="F689" s="9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0.199999999999999" customHeight="1" x14ac:dyDescent="0.25">
      <c r="A690" s="7"/>
      <c r="B690" s="8"/>
      <c r="C690" s="9"/>
      <c r="D690" s="9"/>
      <c r="E690" s="9"/>
      <c r="F690" s="9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0.199999999999999" customHeight="1" x14ac:dyDescent="0.25">
      <c r="A691" s="7"/>
      <c r="B691" s="8"/>
      <c r="C691" s="9"/>
      <c r="D691" s="9"/>
      <c r="E691" s="9"/>
      <c r="F691" s="9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0.199999999999999" customHeight="1" x14ac:dyDescent="0.25">
      <c r="A692" s="7"/>
      <c r="B692" s="8"/>
      <c r="C692" s="9"/>
      <c r="D692" s="9"/>
      <c r="E692" s="9"/>
      <c r="F692" s="9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0.199999999999999" customHeight="1" x14ac:dyDescent="0.25">
      <c r="A693" s="7"/>
      <c r="B693" s="8"/>
      <c r="C693" s="9"/>
      <c r="D693" s="9"/>
      <c r="E693" s="9"/>
      <c r="F693" s="9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0.199999999999999" customHeight="1" x14ac:dyDescent="0.25">
      <c r="A694" s="7"/>
      <c r="B694" s="8"/>
      <c r="C694" s="9"/>
      <c r="D694" s="9"/>
      <c r="E694" s="9"/>
      <c r="F694" s="9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0.199999999999999" customHeight="1" x14ac:dyDescent="0.25">
      <c r="A695" s="7"/>
      <c r="B695" s="8"/>
      <c r="C695" s="9"/>
      <c r="D695" s="9"/>
      <c r="E695" s="9"/>
      <c r="F695" s="9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0.199999999999999" customHeight="1" x14ac:dyDescent="0.25">
      <c r="A696" s="7"/>
      <c r="B696" s="8"/>
      <c r="C696" s="9"/>
      <c r="D696" s="9"/>
      <c r="E696" s="9"/>
      <c r="F696" s="9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0.199999999999999" customHeight="1" x14ac:dyDescent="0.25">
      <c r="A697" s="7"/>
      <c r="B697" s="8"/>
      <c r="C697" s="9"/>
      <c r="D697" s="9"/>
      <c r="E697" s="9"/>
      <c r="F697" s="9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0.199999999999999" customHeight="1" x14ac:dyDescent="0.25">
      <c r="A698" s="7"/>
      <c r="B698" s="8"/>
      <c r="C698" s="9"/>
      <c r="D698" s="9"/>
      <c r="E698" s="9"/>
      <c r="F698" s="9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0.199999999999999" customHeight="1" x14ac:dyDescent="0.25">
      <c r="A699" s="7"/>
      <c r="B699" s="8"/>
      <c r="C699" s="9"/>
      <c r="D699" s="9"/>
      <c r="E699" s="9"/>
      <c r="F699" s="9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0.199999999999999" customHeight="1" x14ac:dyDescent="0.25">
      <c r="A700" s="7"/>
      <c r="B700" s="8"/>
      <c r="C700" s="9"/>
      <c r="D700" s="9"/>
      <c r="E700" s="9"/>
      <c r="F700" s="9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0.199999999999999" customHeight="1" x14ac:dyDescent="0.25">
      <c r="A701" s="7"/>
      <c r="B701" s="8"/>
      <c r="C701" s="9"/>
      <c r="D701" s="9"/>
      <c r="E701" s="9"/>
      <c r="F701" s="9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0.199999999999999" customHeight="1" x14ac:dyDescent="0.25">
      <c r="A702" s="7"/>
      <c r="B702" s="8"/>
      <c r="C702" s="9"/>
      <c r="D702" s="9"/>
      <c r="E702" s="9"/>
      <c r="F702" s="9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0.199999999999999" customHeight="1" x14ac:dyDescent="0.25">
      <c r="A703" s="7"/>
      <c r="B703" s="8"/>
      <c r="C703" s="9"/>
      <c r="D703" s="9"/>
      <c r="E703" s="9"/>
      <c r="F703" s="9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0.199999999999999" customHeight="1" x14ac:dyDescent="0.25">
      <c r="A704" s="7"/>
      <c r="B704" s="8"/>
      <c r="C704" s="9"/>
      <c r="D704" s="9"/>
      <c r="E704" s="9"/>
      <c r="F704" s="9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0.199999999999999" customHeight="1" x14ac:dyDescent="0.25">
      <c r="A705" s="7"/>
      <c r="B705" s="8"/>
      <c r="C705" s="9"/>
      <c r="D705" s="9"/>
      <c r="E705" s="9"/>
      <c r="F705" s="9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0.199999999999999" customHeight="1" x14ac:dyDescent="0.25">
      <c r="A706" s="7"/>
      <c r="B706" s="8"/>
      <c r="C706" s="9"/>
      <c r="D706" s="9"/>
      <c r="E706" s="9"/>
      <c r="F706" s="9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0.199999999999999" customHeight="1" x14ac:dyDescent="0.25">
      <c r="A707" s="7"/>
      <c r="B707" s="8"/>
      <c r="C707" s="9"/>
      <c r="D707" s="9"/>
      <c r="E707" s="9"/>
      <c r="F707" s="9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0.199999999999999" customHeight="1" x14ac:dyDescent="0.25">
      <c r="A708" s="7"/>
      <c r="B708" s="8"/>
      <c r="C708" s="9"/>
      <c r="D708" s="9"/>
      <c r="E708" s="9"/>
      <c r="F708" s="9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0.199999999999999" customHeight="1" x14ac:dyDescent="0.25">
      <c r="A709" s="7"/>
      <c r="B709" s="8"/>
      <c r="C709" s="9"/>
      <c r="D709" s="9"/>
      <c r="E709" s="9"/>
      <c r="F709" s="9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0.199999999999999" customHeight="1" x14ac:dyDescent="0.25">
      <c r="A710" s="7"/>
      <c r="B710" s="8"/>
      <c r="C710" s="9"/>
      <c r="D710" s="9"/>
      <c r="E710" s="9"/>
      <c r="F710" s="9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0.199999999999999" customHeight="1" x14ac:dyDescent="0.25">
      <c r="A711" s="7"/>
      <c r="B711" s="8"/>
      <c r="C711" s="9"/>
      <c r="D711" s="9"/>
      <c r="E711" s="9"/>
      <c r="F711" s="9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0.199999999999999" customHeight="1" x14ac:dyDescent="0.25">
      <c r="A712" s="7"/>
      <c r="B712" s="8"/>
      <c r="C712" s="9"/>
      <c r="D712" s="9"/>
      <c r="E712" s="9"/>
      <c r="F712" s="9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0.199999999999999" customHeight="1" x14ac:dyDescent="0.25">
      <c r="A713" s="7"/>
      <c r="B713" s="8"/>
      <c r="C713" s="9"/>
      <c r="D713" s="9"/>
      <c r="E713" s="9"/>
      <c r="F713" s="9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0.199999999999999" customHeight="1" x14ac:dyDescent="0.25">
      <c r="A714" s="7"/>
      <c r="B714" s="8"/>
      <c r="C714" s="9"/>
      <c r="D714" s="9"/>
      <c r="E714" s="9"/>
      <c r="F714" s="9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0.199999999999999" customHeight="1" x14ac:dyDescent="0.25">
      <c r="A715" s="7"/>
      <c r="B715" s="8"/>
      <c r="C715" s="9"/>
      <c r="D715" s="9"/>
      <c r="E715" s="9"/>
      <c r="F715" s="9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0.199999999999999" customHeight="1" x14ac:dyDescent="0.25">
      <c r="A716" s="7"/>
      <c r="B716" s="8"/>
      <c r="C716" s="9"/>
      <c r="D716" s="9"/>
      <c r="E716" s="9"/>
      <c r="F716" s="9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0.199999999999999" customHeight="1" x14ac:dyDescent="0.25">
      <c r="A717" s="7"/>
      <c r="B717" s="8"/>
      <c r="C717" s="9"/>
      <c r="D717" s="9"/>
      <c r="E717" s="9"/>
      <c r="F717" s="9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0.199999999999999" customHeight="1" x14ac:dyDescent="0.25">
      <c r="A718" s="7"/>
      <c r="B718" s="8"/>
      <c r="C718" s="9"/>
      <c r="D718" s="9"/>
      <c r="E718" s="9"/>
      <c r="F718" s="9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0.199999999999999" customHeight="1" x14ac:dyDescent="0.25">
      <c r="A719" s="7"/>
      <c r="B719" s="8"/>
      <c r="C719" s="9"/>
      <c r="D719" s="9"/>
      <c r="E719" s="9"/>
      <c r="F719" s="9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0.199999999999999" customHeight="1" x14ac:dyDescent="0.25">
      <c r="A720" s="7"/>
      <c r="B720" s="8"/>
      <c r="C720" s="9"/>
      <c r="D720" s="9"/>
      <c r="E720" s="9"/>
      <c r="F720" s="9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0.199999999999999" customHeight="1" x14ac:dyDescent="0.25">
      <c r="A721" s="7"/>
      <c r="B721" s="8"/>
      <c r="C721" s="9"/>
      <c r="D721" s="9"/>
      <c r="E721" s="9"/>
      <c r="F721" s="9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0.199999999999999" customHeight="1" x14ac:dyDescent="0.25">
      <c r="A722" s="7"/>
      <c r="B722" s="8"/>
      <c r="C722" s="9"/>
      <c r="D722" s="9"/>
      <c r="E722" s="9"/>
      <c r="F722" s="9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0.199999999999999" customHeight="1" x14ac:dyDescent="0.25">
      <c r="A723" s="7"/>
      <c r="B723" s="8"/>
      <c r="C723" s="9"/>
      <c r="D723" s="9"/>
      <c r="E723" s="9"/>
      <c r="F723" s="9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0.199999999999999" customHeight="1" x14ac:dyDescent="0.25">
      <c r="A724" s="7"/>
      <c r="B724" s="8"/>
      <c r="C724" s="9"/>
      <c r="D724" s="9"/>
      <c r="E724" s="9"/>
      <c r="F724" s="9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0.199999999999999" customHeight="1" x14ac:dyDescent="0.25">
      <c r="A725" s="7"/>
      <c r="B725" s="8"/>
      <c r="C725" s="9"/>
      <c r="D725" s="9"/>
      <c r="E725" s="9"/>
      <c r="F725" s="9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0.199999999999999" customHeight="1" x14ac:dyDescent="0.25">
      <c r="A726" s="7"/>
      <c r="B726" s="8"/>
      <c r="C726" s="9"/>
      <c r="D726" s="9"/>
      <c r="E726" s="9"/>
      <c r="F726" s="9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0.199999999999999" customHeight="1" x14ac:dyDescent="0.25">
      <c r="A727" s="7"/>
      <c r="B727" s="8"/>
      <c r="C727" s="9"/>
      <c r="D727" s="9"/>
      <c r="E727" s="9"/>
      <c r="F727" s="9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0.199999999999999" customHeight="1" x14ac:dyDescent="0.25">
      <c r="A728" s="7"/>
      <c r="B728" s="8"/>
      <c r="C728" s="9"/>
      <c r="D728" s="9"/>
      <c r="E728" s="9"/>
      <c r="F728" s="9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0.199999999999999" customHeight="1" x14ac:dyDescent="0.25">
      <c r="A729" s="7"/>
      <c r="B729" s="8"/>
      <c r="C729" s="9"/>
      <c r="D729" s="9"/>
      <c r="E729" s="9"/>
      <c r="F729" s="9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0.199999999999999" customHeight="1" x14ac:dyDescent="0.25">
      <c r="A730" s="7"/>
      <c r="B730" s="8"/>
      <c r="C730" s="9"/>
      <c r="D730" s="9"/>
      <c r="E730" s="9"/>
      <c r="F730" s="9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0.199999999999999" customHeight="1" x14ac:dyDescent="0.25">
      <c r="A731" s="7"/>
      <c r="B731" s="8"/>
      <c r="C731" s="9"/>
      <c r="D731" s="9"/>
      <c r="E731" s="9"/>
      <c r="F731" s="9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0.199999999999999" customHeight="1" x14ac:dyDescent="0.25">
      <c r="A732" s="7"/>
      <c r="B732" s="8"/>
      <c r="C732" s="9"/>
      <c r="D732" s="9"/>
      <c r="E732" s="9"/>
      <c r="F732" s="9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0.199999999999999" customHeight="1" x14ac:dyDescent="0.25">
      <c r="A733" s="7"/>
      <c r="B733" s="8"/>
      <c r="C733" s="9"/>
      <c r="D733" s="9"/>
      <c r="E733" s="9"/>
      <c r="F733" s="9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0.199999999999999" customHeight="1" x14ac:dyDescent="0.25">
      <c r="A734" s="7"/>
      <c r="B734" s="8"/>
      <c r="C734" s="9"/>
      <c r="D734" s="9"/>
      <c r="E734" s="9"/>
      <c r="F734" s="9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0.199999999999999" customHeight="1" x14ac:dyDescent="0.25">
      <c r="A735" s="7"/>
      <c r="B735" s="8"/>
      <c r="C735" s="9"/>
      <c r="D735" s="9"/>
      <c r="E735" s="9"/>
      <c r="F735" s="9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0.199999999999999" customHeight="1" x14ac:dyDescent="0.25">
      <c r="A736" s="7"/>
      <c r="B736" s="8"/>
      <c r="C736" s="9"/>
      <c r="D736" s="9"/>
      <c r="E736" s="9"/>
      <c r="F736" s="9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0.199999999999999" customHeight="1" x14ac:dyDescent="0.25">
      <c r="A737" s="7"/>
      <c r="B737" s="8"/>
      <c r="C737" s="9"/>
      <c r="D737" s="9"/>
      <c r="E737" s="9"/>
      <c r="F737" s="9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0.199999999999999" customHeight="1" x14ac:dyDescent="0.25">
      <c r="A738" s="7"/>
      <c r="B738" s="8"/>
      <c r="C738" s="9"/>
      <c r="D738" s="9"/>
      <c r="E738" s="9"/>
      <c r="F738" s="9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0.199999999999999" customHeight="1" x14ac:dyDescent="0.25">
      <c r="A739" s="7"/>
      <c r="B739" s="8"/>
      <c r="C739" s="9"/>
      <c r="D739" s="9"/>
      <c r="E739" s="9"/>
      <c r="F739" s="9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0.199999999999999" customHeight="1" x14ac:dyDescent="0.25">
      <c r="A740" s="7"/>
      <c r="B740" s="8"/>
      <c r="C740" s="9"/>
      <c r="D740" s="9"/>
      <c r="E740" s="9"/>
      <c r="F740" s="9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0.199999999999999" customHeight="1" x14ac:dyDescent="0.25">
      <c r="A741" s="7"/>
      <c r="B741" s="8"/>
      <c r="C741" s="9"/>
      <c r="D741" s="9"/>
      <c r="E741" s="9"/>
      <c r="F741" s="9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0.199999999999999" customHeight="1" x14ac:dyDescent="0.25">
      <c r="A742" s="7"/>
      <c r="B742" s="8"/>
      <c r="C742" s="9"/>
      <c r="D742" s="9"/>
      <c r="E742" s="9"/>
      <c r="F742" s="9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0.199999999999999" customHeight="1" x14ac:dyDescent="0.25">
      <c r="A743" s="7"/>
      <c r="B743" s="8"/>
      <c r="C743" s="9"/>
      <c r="D743" s="9"/>
      <c r="E743" s="9"/>
      <c r="F743" s="9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0.199999999999999" customHeight="1" x14ac:dyDescent="0.25">
      <c r="A744" s="7"/>
      <c r="B744" s="8"/>
      <c r="C744" s="9"/>
      <c r="D744" s="9"/>
      <c r="E744" s="9"/>
      <c r="F744" s="9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0.199999999999999" customHeight="1" x14ac:dyDescent="0.25">
      <c r="A745" s="7"/>
      <c r="B745" s="8"/>
      <c r="C745" s="9"/>
      <c r="D745" s="9"/>
      <c r="E745" s="9"/>
      <c r="F745" s="9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0.199999999999999" customHeight="1" x14ac:dyDescent="0.25">
      <c r="A746" s="7"/>
      <c r="B746" s="8"/>
      <c r="C746" s="9"/>
      <c r="D746" s="9"/>
      <c r="E746" s="9"/>
      <c r="F746" s="9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0.199999999999999" customHeight="1" x14ac:dyDescent="0.25">
      <c r="A747" s="7"/>
      <c r="B747" s="8"/>
      <c r="C747" s="9"/>
      <c r="D747" s="9"/>
      <c r="E747" s="9"/>
      <c r="F747" s="9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0.199999999999999" customHeight="1" x14ac:dyDescent="0.25">
      <c r="A748" s="7"/>
      <c r="B748" s="8"/>
      <c r="C748" s="9"/>
      <c r="D748" s="9"/>
      <c r="E748" s="9"/>
      <c r="F748" s="9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0.199999999999999" customHeight="1" x14ac:dyDescent="0.25">
      <c r="A749" s="7"/>
      <c r="B749" s="8"/>
      <c r="C749" s="9"/>
      <c r="D749" s="9"/>
      <c r="E749" s="9"/>
      <c r="F749" s="9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0.199999999999999" customHeight="1" x14ac:dyDescent="0.25">
      <c r="A750" s="7"/>
      <c r="B750" s="8"/>
      <c r="C750" s="9"/>
      <c r="D750" s="9"/>
      <c r="E750" s="9"/>
      <c r="F750" s="9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0.199999999999999" customHeight="1" x14ac:dyDescent="0.25">
      <c r="A751" s="7"/>
      <c r="B751" s="8"/>
      <c r="C751" s="9"/>
      <c r="D751" s="9"/>
      <c r="E751" s="9"/>
      <c r="F751" s="9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0.199999999999999" customHeight="1" x14ac:dyDescent="0.25">
      <c r="A752" s="7"/>
      <c r="B752" s="8"/>
      <c r="C752" s="9"/>
      <c r="D752" s="9"/>
      <c r="E752" s="9"/>
      <c r="F752" s="9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0.199999999999999" customHeight="1" x14ac:dyDescent="0.25">
      <c r="A753" s="7"/>
      <c r="B753" s="8"/>
      <c r="C753" s="9"/>
      <c r="D753" s="9"/>
      <c r="E753" s="9"/>
      <c r="F753" s="9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0.199999999999999" customHeight="1" x14ac:dyDescent="0.25">
      <c r="A754" s="7"/>
      <c r="B754" s="8"/>
      <c r="C754" s="9"/>
      <c r="D754" s="9"/>
      <c r="E754" s="9"/>
      <c r="F754" s="9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0.199999999999999" customHeight="1" x14ac:dyDescent="0.25">
      <c r="A755" s="7"/>
      <c r="B755" s="8"/>
      <c r="C755" s="9"/>
      <c r="D755" s="9"/>
      <c r="E755" s="9"/>
      <c r="F755" s="9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0.199999999999999" customHeight="1" x14ac:dyDescent="0.25">
      <c r="A756" s="7"/>
      <c r="B756" s="8"/>
      <c r="C756" s="9"/>
      <c r="D756" s="9"/>
      <c r="E756" s="9"/>
      <c r="F756" s="9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0.199999999999999" customHeight="1" x14ac:dyDescent="0.25">
      <c r="A757" s="7"/>
      <c r="B757" s="8"/>
      <c r="C757" s="9"/>
      <c r="D757" s="9"/>
      <c r="E757" s="9"/>
      <c r="F757" s="9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0.199999999999999" customHeight="1" x14ac:dyDescent="0.25">
      <c r="A758" s="7"/>
      <c r="B758" s="8"/>
      <c r="C758" s="9"/>
      <c r="D758" s="9"/>
      <c r="E758" s="9"/>
      <c r="F758" s="9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0.199999999999999" customHeight="1" x14ac:dyDescent="0.25">
      <c r="A759" s="7"/>
      <c r="B759" s="8"/>
      <c r="C759" s="9"/>
      <c r="D759" s="9"/>
      <c r="E759" s="9"/>
      <c r="F759" s="9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0.199999999999999" customHeight="1" x14ac:dyDescent="0.25">
      <c r="A760" s="7"/>
      <c r="B760" s="8"/>
      <c r="C760" s="9"/>
      <c r="D760" s="9"/>
      <c r="E760" s="9"/>
      <c r="F760" s="9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0.199999999999999" customHeight="1" x14ac:dyDescent="0.25">
      <c r="A761" s="7"/>
      <c r="B761" s="8"/>
      <c r="C761" s="9"/>
      <c r="D761" s="9"/>
      <c r="E761" s="9"/>
      <c r="F761" s="9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0.199999999999999" customHeight="1" x14ac:dyDescent="0.25">
      <c r="A762" s="7"/>
      <c r="B762" s="8"/>
      <c r="C762" s="9"/>
      <c r="D762" s="9"/>
      <c r="E762" s="9"/>
      <c r="F762" s="9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0.199999999999999" customHeight="1" x14ac:dyDescent="0.25">
      <c r="A763" s="7"/>
      <c r="B763" s="8"/>
      <c r="C763" s="9"/>
      <c r="D763" s="9"/>
      <c r="E763" s="9"/>
      <c r="F763" s="9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0.199999999999999" customHeight="1" x14ac:dyDescent="0.25">
      <c r="A764" s="7"/>
      <c r="B764" s="8"/>
      <c r="C764" s="9"/>
      <c r="D764" s="9"/>
      <c r="E764" s="9"/>
      <c r="F764" s="9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0.199999999999999" customHeight="1" x14ac:dyDescent="0.25">
      <c r="A765" s="7"/>
      <c r="B765" s="8"/>
      <c r="C765" s="9"/>
      <c r="D765" s="9"/>
      <c r="E765" s="9"/>
      <c r="F765" s="9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0.199999999999999" customHeight="1" x14ac:dyDescent="0.25">
      <c r="A766" s="7"/>
      <c r="B766" s="8"/>
      <c r="C766" s="9"/>
      <c r="D766" s="9"/>
      <c r="E766" s="9"/>
      <c r="F766" s="9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0.199999999999999" customHeight="1" x14ac:dyDescent="0.25">
      <c r="A767" s="7"/>
      <c r="B767" s="8"/>
      <c r="C767" s="9"/>
      <c r="D767" s="9"/>
      <c r="E767" s="9"/>
      <c r="F767" s="9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0.199999999999999" customHeight="1" x14ac:dyDescent="0.25">
      <c r="A768" s="7"/>
      <c r="B768" s="8"/>
      <c r="C768" s="9"/>
      <c r="D768" s="9"/>
      <c r="E768" s="9"/>
      <c r="F768" s="9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0.199999999999999" customHeight="1" x14ac:dyDescent="0.25">
      <c r="A769" s="7"/>
      <c r="B769" s="8"/>
      <c r="C769" s="9"/>
      <c r="D769" s="9"/>
      <c r="E769" s="9"/>
      <c r="F769" s="9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0.199999999999999" customHeight="1" x14ac:dyDescent="0.25">
      <c r="A770" s="7"/>
      <c r="B770" s="8"/>
      <c r="C770" s="9"/>
      <c r="D770" s="9"/>
      <c r="E770" s="9"/>
      <c r="F770" s="9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0.199999999999999" customHeight="1" x14ac:dyDescent="0.25">
      <c r="A771" s="7"/>
      <c r="B771" s="8"/>
      <c r="C771" s="9"/>
      <c r="D771" s="9"/>
      <c r="E771" s="9"/>
      <c r="F771" s="9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0.199999999999999" customHeight="1" x14ac:dyDescent="0.25">
      <c r="A772" s="7"/>
      <c r="B772" s="8"/>
      <c r="C772" s="9"/>
      <c r="D772" s="9"/>
      <c r="E772" s="9"/>
      <c r="F772" s="9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0.199999999999999" customHeight="1" x14ac:dyDescent="0.25">
      <c r="A773" s="7"/>
      <c r="B773" s="8"/>
      <c r="C773" s="9"/>
      <c r="D773" s="9"/>
      <c r="E773" s="9"/>
      <c r="F773" s="9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0.199999999999999" customHeight="1" x14ac:dyDescent="0.25">
      <c r="A774" s="7"/>
      <c r="B774" s="8"/>
      <c r="C774" s="9"/>
      <c r="D774" s="9"/>
      <c r="E774" s="9"/>
      <c r="F774" s="9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0.199999999999999" customHeight="1" x14ac:dyDescent="0.25">
      <c r="A775" s="7"/>
      <c r="B775" s="8"/>
      <c r="C775" s="9"/>
      <c r="D775" s="9"/>
      <c r="E775" s="9"/>
      <c r="F775" s="9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0.199999999999999" customHeight="1" x14ac:dyDescent="0.25">
      <c r="A776" s="7"/>
      <c r="B776" s="8"/>
      <c r="C776" s="9"/>
      <c r="D776" s="9"/>
      <c r="E776" s="9"/>
      <c r="F776" s="9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0.199999999999999" customHeight="1" x14ac:dyDescent="0.25">
      <c r="A777" s="7"/>
      <c r="B777" s="8"/>
      <c r="C777" s="9"/>
      <c r="D777" s="9"/>
      <c r="E777" s="9"/>
      <c r="F777" s="9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0.199999999999999" customHeight="1" x14ac:dyDescent="0.25">
      <c r="A778" s="7"/>
      <c r="B778" s="8"/>
      <c r="C778" s="9"/>
      <c r="D778" s="9"/>
      <c r="E778" s="9"/>
      <c r="F778" s="9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0.199999999999999" customHeight="1" x14ac:dyDescent="0.25">
      <c r="A779" s="7"/>
      <c r="B779" s="8"/>
      <c r="C779" s="9"/>
      <c r="D779" s="9"/>
      <c r="E779" s="9"/>
      <c r="F779" s="9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0.199999999999999" customHeight="1" x14ac:dyDescent="0.25">
      <c r="A780" s="7"/>
      <c r="B780" s="8"/>
      <c r="C780" s="9"/>
      <c r="D780" s="9"/>
      <c r="E780" s="9"/>
      <c r="F780" s="9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0.199999999999999" customHeight="1" x14ac:dyDescent="0.25">
      <c r="A781" s="7"/>
      <c r="B781" s="8"/>
      <c r="C781" s="9"/>
      <c r="D781" s="9"/>
      <c r="E781" s="9"/>
      <c r="F781" s="9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0.199999999999999" customHeight="1" x14ac:dyDescent="0.25">
      <c r="A782" s="7"/>
      <c r="B782" s="8"/>
      <c r="C782" s="9"/>
      <c r="D782" s="9"/>
      <c r="E782" s="9"/>
      <c r="F782" s="9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0.199999999999999" customHeight="1" x14ac:dyDescent="0.25">
      <c r="A783" s="7"/>
      <c r="B783" s="8"/>
      <c r="C783" s="9"/>
      <c r="D783" s="9"/>
      <c r="E783" s="9"/>
      <c r="F783" s="9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0.199999999999999" customHeight="1" x14ac:dyDescent="0.25">
      <c r="A784" s="7"/>
      <c r="B784" s="8"/>
      <c r="C784" s="9"/>
      <c r="D784" s="9"/>
      <c r="E784" s="9"/>
      <c r="F784" s="9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0.199999999999999" customHeight="1" x14ac:dyDescent="0.25">
      <c r="A785" s="7"/>
      <c r="B785" s="8"/>
      <c r="C785" s="9"/>
      <c r="D785" s="9"/>
      <c r="E785" s="9"/>
      <c r="F785" s="9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0.199999999999999" customHeight="1" x14ac:dyDescent="0.25">
      <c r="A786" s="7"/>
      <c r="B786" s="8"/>
      <c r="C786" s="9"/>
      <c r="D786" s="9"/>
      <c r="E786" s="9"/>
      <c r="F786" s="9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0.199999999999999" customHeight="1" x14ac:dyDescent="0.25">
      <c r="A787" s="7"/>
      <c r="B787" s="8"/>
      <c r="C787" s="9"/>
      <c r="D787" s="9"/>
      <c r="E787" s="9"/>
      <c r="F787" s="9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0.199999999999999" customHeight="1" x14ac:dyDescent="0.25">
      <c r="A788" s="7"/>
      <c r="B788" s="8"/>
      <c r="C788" s="9"/>
      <c r="D788" s="9"/>
      <c r="E788" s="9"/>
      <c r="F788" s="9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0.199999999999999" customHeight="1" x14ac:dyDescent="0.25">
      <c r="A789" s="7"/>
      <c r="B789" s="8"/>
      <c r="C789" s="9"/>
      <c r="D789" s="9"/>
      <c r="E789" s="9"/>
      <c r="F789" s="9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0.199999999999999" customHeight="1" x14ac:dyDescent="0.25">
      <c r="A790" s="7"/>
      <c r="B790" s="8"/>
      <c r="C790" s="9"/>
      <c r="D790" s="9"/>
      <c r="E790" s="9"/>
      <c r="F790" s="9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0.199999999999999" customHeight="1" x14ac:dyDescent="0.25">
      <c r="A791" s="7"/>
      <c r="B791" s="8"/>
      <c r="C791" s="9"/>
      <c r="D791" s="9"/>
      <c r="E791" s="9"/>
      <c r="F791" s="9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0.199999999999999" customHeight="1" x14ac:dyDescent="0.25">
      <c r="A792" s="7"/>
      <c r="B792" s="8"/>
      <c r="C792" s="9"/>
      <c r="D792" s="9"/>
      <c r="E792" s="9"/>
      <c r="F792" s="9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0.199999999999999" customHeight="1" x14ac:dyDescent="0.25">
      <c r="A793" s="7"/>
      <c r="B793" s="8"/>
      <c r="C793" s="9"/>
      <c r="D793" s="9"/>
      <c r="E793" s="9"/>
      <c r="F793" s="9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0.199999999999999" customHeight="1" x14ac:dyDescent="0.25">
      <c r="A794" s="7"/>
      <c r="B794" s="8"/>
      <c r="C794" s="9"/>
      <c r="D794" s="9"/>
      <c r="E794" s="9"/>
      <c r="F794" s="9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0.199999999999999" customHeight="1" x14ac:dyDescent="0.25">
      <c r="A795" s="7"/>
      <c r="B795" s="8"/>
      <c r="C795" s="9"/>
      <c r="D795" s="9"/>
      <c r="E795" s="9"/>
      <c r="F795" s="9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0.199999999999999" customHeight="1" x14ac:dyDescent="0.25">
      <c r="A796" s="7"/>
      <c r="B796" s="8"/>
      <c r="C796" s="9"/>
      <c r="D796" s="9"/>
      <c r="E796" s="9"/>
      <c r="F796" s="9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0.199999999999999" customHeight="1" x14ac:dyDescent="0.25">
      <c r="A797" s="7"/>
      <c r="B797" s="8"/>
      <c r="C797" s="9"/>
      <c r="D797" s="9"/>
      <c r="E797" s="9"/>
      <c r="F797" s="9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0.199999999999999" customHeight="1" x14ac:dyDescent="0.25">
      <c r="A798" s="7"/>
      <c r="B798" s="8"/>
      <c r="C798" s="9"/>
      <c r="D798" s="9"/>
      <c r="E798" s="9"/>
      <c r="F798" s="9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0.199999999999999" customHeight="1" x14ac:dyDescent="0.25">
      <c r="A799" s="7"/>
      <c r="B799" s="8"/>
      <c r="C799" s="9"/>
      <c r="D799" s="9"/>
      <c r="E799" s="9"/>
      <c r="F799" s="9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0.199999999999999" customHeight="1" x14ac:dyDescent="0.25">
      <c r="A800" s="7"/>
      <c r="B800" s="8"/>
      <c r="C800" s="9"/>
      <c r="D800" s="9"/>
      <c r="E800" s="9"/>
      <c r="F800" s="9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0.199999999999999" customHeight="1" x14ac:dyDescent="0.25">
      <c r="A801" s="7"/>
      <c r="B801" s="8"/>
      <c r="C801" s="9"/>
      <c r="D801" s="9"/>
      <c r="E801" s="9"/>
      <c r="F801" s="9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0.199999999999999" customHeight="1" x14ac:dyDescent="0.25">
      <c r="A802" s="7"/>
      <c r="B802" s="8"/>
      <c r="C802" s="9"/>
      <c r="D802" s="9"/>
      <c r="E802" s="9"/>
      <c r="F802" s="9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0.199999999999999" customHeight="1" x14ac:dyDescent="0.25">
      <c r="A803" s="7"/>
      <c r="B803" s="8"/>
      <c r="C803" s="9"/>
      <c r="D803" s="9"/>
      <c r="E803" s="9"/>
      <c r="F803" s="9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0.199999999999999" customHeight="1" x14ac:dyDescent="0.25">
      <c r="A804" s="7"/>
      <c r="B804" s="8"/>
      <c r="C804" s="9"/>
      <c r="D804" s="9"/>
      <c r="E804" s="9"/>
      <c r="F804" s="9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0.199999999999999" customHeight="1" x14ac:dyDescent="0.25">
      <c r="A805" s="7"/>
      <c r="B805" s="8"/>
      <c r="C805" s="9"/>
      <c r="D805" s="9"/>
      <c r="E805" s="9"/>
      <c r="F805" s="9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0.199999999999999" customHeight="1" x14ac:dyDescent="0.25">
      <c r="A806" s="7"/>
      <c r="B806" s="8"/>
      <c r="C806" s="9"/>
      <c r="D806" s="9"/>
      <c r="E806" s="9"/>
      <c r="F806" s="9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0.199999999999999" customHeight="1" x14ac:dyDescent="0.25">
      <c r="A807" s="7"/>
      <c r="B807" s="8"/>
      <c r="C807" s="9"/>
      <c r="D807" s="9"/>
      <c r="E807" s="9"/>
      <c r="F807" s="9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0.199999999999999" customHeight="1" x14ac:dyDescent="0.25">
      <c r="A808" s="7"/>
      <c r="B808" s="8"/>
      <c r="C808" s="9"/>
      <c r="D808" s="9"/>
      <c r="E808" s="9"/>
      <c r="F808" s="9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0.199999999999999" customHeight="1" x14ac:dyDescent="0.25">
      <c r="A809" s="7"/>
      <c r="B809" s="8"/>
      <c r="C809" s="9"/>
      <c r="D809" s="9"/>
      <c r="E809" s="9"/>
      <c r="F809" s="9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0.199999999999999" customHeight="1" x14ac:dyDescent="0.25">
      <c r="A810" s="7"/>
      <c r="B810" s="8"/>
      <c r="C810" s="9"/>
      <c r="D810" s="9"/>
      <c r="E810" s="9"/>
      <c r="F810" s="9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0.199999999999999" customHeight="1" x14ac:dyDescent="0.25">
      <c r="A811" s="7"/>
      <c r="B811" s="8"/>
      <c r="C811" s="9"/>
      <c r="D811" s="9"/>
      <c r="E811" s="9"/>
      <c r="F811" s="9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0.199999999999999" customHeight="1" x14ac:dyDescent="0.25">
      <c r="A812" s="7"/>
      <c r="B812" s="8"/>
      <c r="C812" s="9"/>
      <c r="D812" s="9"/>
      <c r="E812" s="9"/>
      <c r="F812" s="9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0.199999999999999" customHeight="1" x14ac:dyDescent="0.25">
      <c r="A813" s="7"/>
      <c r="B813" s="8"/>
      <c r="C813" s="9"/>
      <c r="D813" s="9"/>
      <c r="E813" s="9"/>
      <c r="F813" s="9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0.199999999999999" customHeight="1" x14ac:dyDescent="0.25">
      <c r="A814" s="7"/>
      <c r="B814" s="8"/>
      <c r="C814" s="9"/>
      <c r="D814" s="9"/>
      <c r="E814" s="9"/>
      <c r="F814" s="9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0.199999999999999" customHeight="1" x14ac:dyDescent="0.25">
      <c r="A815" s="7"/>
      <c r="B815" s="8"/>
      <c r="C815" s="9"/>
      <c r="D815" s="9"/>
      <c r="E815" s="9"/>
      <c r="F815" s="9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0.199999999999999" customHeight="1" x14ac:dyDescent="0.25">
      <c r="A816" s="7"/>
      <c r="B816" s="8"/>
      <c r="C816" s="9"/>
      <c r="D816" s="9"/>
      <c r="E816" s="9"/>
      <c r="F816" s="9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0.199999999999999" customHeight="1" x14ac:dyDescent="0.25">
      <c r="A817" s="7"/>
      <c r="B817" s="8"/>
      <c r="C817" s="9"/>
      <c r="D817" s="9"/>
      <c r="E817" s="9"/>
      <c r="F817" s="9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0.199999999999999" customHeight="1" x14ac:dyDescent="0.25">
      <c r="A818" s="7"/>
      <c r="B818" s="8"/>
      <c r="C818" s="9"/>
      <c r="D818" s="9"/>
      <c r="E818" s="9"/>
      <c r="F818" s="9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0.199999999999999" customHeight="1" x14ac:dyDescent="0.25">
      <c r="A819" s="7"/>
      <c r="B819" s="8"/>
      <c r="C819" s="9"/>
      <c r="D819" s="9"/>
      <c r="E819" s="9"/>
      <c r="F819" s="9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0.199999999999999" customHeight="1" x14ac:dyDescent="0.25">
      <c r="A820" s="7"/>
      <c r="B820" s="8"/>
      <c r="C820" s="9"/>
      <c r="D820" s="9"/>
      <c r="E820" s="9"/>
      <c r="F820" s="9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0.199999999999999" customHeight="1" x14ac:dyDescent="0.25">
      <c r="A821" s="7"/>
      <c r="B821" s="8"/>
      <c r="C821" s="9"/>
      <c r="D821" s="9"/>
      <c r="E821" s="9"/>
      <c r="F821" s="9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0.199999999999999" customHeight="1" x14ac:dyDescent="0.25">
      <c r="A822" s="7"/>
      <c r="B822" s="8"/>
      <c r="C822" s="9"/>
      <c r="D822" s="9"/>
      <c r="E822" s="9"/>
      <c r="F822" s="9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0.199999999999999" customHeight="1" x14ac:dyDescent="0.25">
      <c r="A823" s="7"/>
      <c r="B823" s="8"/>
      <c r="C823" s="9"/>
      <c r="D823" s="9"/>
      <c r="E823" s="9"/>
      <c r="F823" s="9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0.199999999999999" customHeight="1" x14ac:dyDescent="0.25">
      <c r="A824" s="7"/>
      <c r="B824" s="8"/>
      <c r="C824" s="9"/>
      <c r="D824" s="9"/>
      <c r="E824" s="9"/>
      <c r="F824" s="9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0.199999999999999" customHeight="1" x14ac:dyDescent="0.25">
      <c r="A825" s="7"/>
      <c r="B825" s="8"/>
      <c r="C825" s="9"/>
      <c r="D825" s="9"/>
      <c r="E825" s="9"/>
      <c r="F825" s="9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0.199999999999999" customHeight="1" x14ac:dyDescent="0.25">
      <c r="A826" s="7"/>
      <c r="B826" s="8"/>
      <c r="C826" s="9"/>
      <c r="D826" s="9"/>
      <c r="E826" s="9"/>
      <c r="F826" s="9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0.199999999999999" customHeight="1" x14ac:dyDescent="0.25">
      <c r="A827" s="7"/>
      <c r="B827" s="8"/>
      <c r="C827" s="9"/>
      <c r="D827" s="9"/>
      <c r="E827" s="9"/>
      <c r="F827" s="9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0.199999999999999" customHeight="1" x14ac:dyDescent="0.25">
      <c r="A828" s="7"/>
      <c r="B828" s="8"/>
      <c r="C828" s="9"/>
      <c r="D828" s="9"/>
      <c r="E828" s="9"/>
      <c r="F828" s="9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0.199999999999999" customHeight="1" x14ac:dyDescent="0.25">
      <c r="A829" s="7"/>
      <c r="B829" s="8"/>
      <c r="C829" s="9"/>
      <c r="D829" s="9"/>
      <c r="E829" s="9"/>
      <c r="F829" s="9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0.199999999999999" customHeight="1" x14ac:dyDescent="0.25">
      <c r="A830" s="7"/>
      <c r="B830" s="8"/>
      <c r="C830" s="9"/>
      <c r="D830" s="9"/>
      <c r="E830" s="9"/>
      <c r="F830" s="9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0.199999999999999" customHeight="1" x14ac:dyDescent="0.25">
      <c r="A831" s="7"/>
      <c r="B831" s="8"/>
      <c r="C831" s="9"/>
      <c r="D831" s="9"/>
      <c r="E831" s="9"/>
      <c r="F831" s="9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0.199999999999999" customHeight="1" x14ac:dyDescent="0.25">
      <c r="A832" s="7"/>
      <c r="B832" s="8"/>
      <c r="C832" s="9"/>
      <c r="D832" s="9"/>
      <c r="E832" s="9"/>
      <c r="F832" s="9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0.199999999999999" customHeight="1" x14ac:dyDescent="0.25">
      <c r="A833" s="7"/>
      <c r="B833" s="8"/>
      <c r="C833" s="9"/>
      <c r="D833" s="9"/>
      <c r="E833" s="9"/>
      <c r="F833" s="9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0.199999999999999" customHeight="1" x14ac:dyDescent="0.25">
      <c r="A834" s="7"/>
      <c r="B834" s="8"/>
      <c r="C834" s="9"/>
      <c r="D834" s="9"/>
      <c r="E834" s="9"/>
      <c r="F834" s="9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0.199999999999999" customHeight="1" x14ac:dyDescent="0.25">
      <c r="A835" s="7"/>
      <c r="B835" s="8"/>
      <c r="C835" s="9"/>
      <c r="D835" s="9"/>
      <c r="E835" s="9"/>
      <c r="F835" s="9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0.199999999999999" customHeight="1" x14ac:dyDescent="0.25">
      <c r="A836" s="7"/>
      <c r="B836" s="8"/>
      <c r="C836" s="9"/>
      <c r="D836" s="9"/>
      <c r="E836" s="9"/>
      <c r="F836" s="9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0.199999999999999" customHeight="1" x14ac:dyDescent="0.25">
      <c r="A837" s="7"/>
      <c r="B837" s="8"/>
      <c r="C837" s="9"/>
      <c r="D837" s="9"/>
      <c r="E837" s="9"/>
      <c r="F837" s="9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0.199999999999999" customHeight="1" x14ac:dyDescent="0.25">
      <c r="A838" s="7"/>
      <c r="B838" s="8"/>
      <c r="C838" s="9"/>
      <c r="D838" s="9"/>
      <c r="E838" s="9"/>
      <c r="F838" s="9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0.199999999999999" customHeight="1" x14ac:dyDescent="0.25">
      <c r="A839" s="7"/>
      <c r="B839" s="8"/>
      <c r="C839" s="9"/>
      <c r="D839" s="9"/>
      <c r="E839" s="9"/>
      <c r="F839" s="9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0.199999999999999" customHeight="1" x14ac:dyDescent="0.25">
      <c r="A840" s="7"/>
      <c r="B840" s="8"/>
      <c r="C840" s="9"/>
      <c r="D840" s="9"/>
      <c r="E840" s="9"/>
      <c r="F840" s="9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0.199999999999999" customHeight="1" x14ac:dyDescent="0.25">
      <c r="A841" s="7"/>
      <c r="B841" s="8"/>
      <c r="C841" s="9"/>
      <c r="D841" s="9"/>
      <c r="E841" s="9"/>
      <c r="F841" s="9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0.199999999999999" customHeight="1" x14ac:dyDescent="0.25">
      <c r="A842" s="7"/>
      <c r="B842" s="8"/>
      <c r="C842" s="9"/>
      <c r="D842" s="9"/>
      <c r="E842" s="9"/>
      <c r="F842" s="9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0.199999999999999" customHeight="1" x14ac:dyDescent="0.25">
      <c r="A843" s="7"/>
      <c r="B843" s="8"/>
      <c r="C843" s="9"/>
      <c r="D843" s="9"/>
      <c r="E843" s="9"/>
      <c r="F843" s="9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0.199999999999999" customHeight="1" x14ac:dyDescent="0.25">
      <c r="A844" s="7"/>
      <c r="B844" s="8"/>
      <c r="C844" s="9"/>
      <c r="D844" s="9"/>
      <c r="E844" s="9"/>
      <c r="F844" s="9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0.199999999999999" customHeight="1" x14ac:dyDescent="0.25">
      <c r="A845" s="7"/>
      <c r="B845" s="8"/>
      <c r="C845" s="9"/>
      <c r="D845" s="9"/>
      <c r="E845" s="9"/>
      <c r="F845" s="9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0.199999999999999" customHeight="1" x14ac:dyDescent="0.25">
      <c r="A846" s="7"/>
      <c r="B846" s="8"/>
      <c r="C846" s="9"/>
      <c r="D846" s="9"/>
      <c r="E846" s="9"/>
      <c r="F846" s="9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0.199999999999999" customHeight="1" x14ac:dyDescent="0.25">
      <c r="A847" s="7"/>
      <c r="B847" s="8"/>
      <c r="C847" s="9"/>
      <c r="D847" s="9"/>
      <c r="E847" s="9"/>
      <c r="F847" s="9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0.199999999999999" customHeight="1" x14ac:dyDescent="0.25">
      <c r="A848" s="7"/>
      <c r="B848" s="8"/>
      <c r="C848" s="9"/>
      <c r="D848" s="9"/>
      <c r="E848" s="9"/>
      <c r="F848" s="9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0.199999999999999" customHeight="1" x14ac:dyDescent="0.25">
      <c r="A849" s="7"/>
      <c r="B849" s="8"/>
      <c r="C849" s="9"/>
      <c r="D849" s="9"/>
      <c r="E849" s="9"/>
      <c r="F849" s="9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0.199999999999999" customHeight="1" x14ac:dyDescent="0.25">
      <c r="A850" s="7"/>
      <c r="B850" s="8"/>
      <c r="C850" s="9"/>
      <c r="D850" s="9"/>
      <c r="E850" s="9"/>
      <c r="F850" s="9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0.199999999999999" customHeight="1" x14ac:dyDescent="0.25">
      <c r="A851" s="7"/>
      <c r="B851" s="8"/>
      <c r="C851" s="9"/>
      <c r="D851" s="9"/>
      <c r="E851" s="9"/>
      <c r="F851" s="9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0.199999999999999" customHeight="1" x14ac:dyDescent="0.25">
      <c r="A852" s="7"/>
      <c r="B852" s="8"/>
      <c r="C852" s="9"/>
      <c r="D852" s="9"/>
      <c r="E852" s="9"/>
      <c r="F852" s="9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0.199999999999999" customHeight="1" x14ac:dyDescent="0.25">
      <c r="A853" s="7"/>
      <c r="B853" s="8"/>
      <c r="C853" s="9"/>
      <c r="D853" s="9"/>
      <c r="E853" s="9"/>
      <c r="F853" s="9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0.199999999999999" customHeight="1" x14ac:dyDescent="0.25">
      <c r="A854" s="7"/>
      <c r="B854" s="8"/>
      <c r="C854" s="9"/>
      <c r="D854" s="9"/>
      <c r="E854" s="9"/>
      <c r="F854" s="9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0.199999999999999" customHeight="1" x14ac:dyDescent="0.25">
      <c r="A855" s="7"/>
      <c r="B855" s="8"/>
      <c r="C855" s="9"/>
      <c r="D855" s="9"/>
      <c r="E855" s="9"/>
      <c r="F855" s="9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0.199999999999999" customHeight="1" x14ac:dyDescent="0.25">
      <c r="A856" s="7"/>
      <c r="B856" s="8"/>
      <c r="C856" s="9"/>
      <c r="D856" s="9"/>
      <c r="E856" s="9"/>
      <c r="F856" s="9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0.199999999999999" customHeight="1" x14ac:dyDescent="0.25">
      <c r="A857" s="7"/>
      <c r="B857" s="8"/>
      <c r="C857" s="9"/>
      <c r="D857" s="9"/>
      <c r="E857" s="9"/>
      <c r="F857" s="9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0.199999999999999" customHeight="1" x14ac:dyDescent="0.25">
      <c r="A858" s="7"/>
      <c r="B858" s="8"/>
      <c r="C858" s="9"/>
      <c r="D858" s="9"/>
      <c r="E858" s="9"/>
      <c r="F858" s="9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0.199999999999999" customHeight="1" x14ac:dyDescent="0.25">
      <c r="A859" s="7"/>
      <c r="B859" s="8"/>
      <c r="C859" s="9"/>
      <c r="D859" s="9"/>
      <c r="E859" s="9"/>
      <c r="F859" s="9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0.199999999999999" customHeight="1" x14ac:dyDescent="0.25">
      <c r="A860" s="7"/>
      <c r="B860" s="8"/>
      <c r="C860" s="9"/>
      <c r="D860" s="9"/>
      <c r="E860" s="9"/>
      <c r="F860" s="9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0.199999999999999" customHeight="1" x14ac:dyDescent="0.25">
      <c r="A861" s="7"/>
      <c r="B861" s="8"/>
      <c r="C861" s="9"/>
      <c r="D861" s="9"/>
      <c r="E861" s="9"/>
      <c r="F861" s="9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0.199999999999999" customHeight="1" x14ac:dyDescent="0.25">
      <c r="A862" s="7"/>
      <c r="B862" s="8"/>
      <c r="C862" s="9"/>
      <c r="D862" s="9"/>
      <c r="E862" s="9"/>
      <c r="F862" s="9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0.199999999999999" customHeight="1" x14ac:dyDescent="0.25">
      <c r="A863" s="7"/>
      <c r="B863" s="8"/>
      <c r="C863" s="9"/>
      <c r="D863" s="9"/>
      <c r="E863" s="9"/>
      <c r="F863" s="9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0.199999999999999" customHeight="1" x14ac:dyDescent="0.25">
      <c r="A864" s="7"/>
      <c r="B864" s="8"/>
      <c r="C864" s="9"/>
      <c r="D864" s="9"/>
      <c r="E864" s="9"/>
      <c r="F864" s="9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0.199999999999999" customHeight="1" x14ac:dyDescent="0.25">
      <c r="A865" s="7"/>
      <c r="B865" s="8"/>
      <c r="C865" s="9"/>
      <c r="D865" s="9"/>
      <c r="E865" s="9"/>
      <c r="F865" s="9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0.199999999999999" customHeight="1" x14ac:dyDescent="0.25">
      <c r="A866" s="7"/>
      <c r="B866" s="8"/>
      <c r="C866" s="9"/>
      <c r="D866" s="9"/>
      <c r="E866" s="9"/>
      <c r="F866" s="9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0.199999999999999" customHeight="1" x14ac:dyDescent="0.25">
      <c r="A867" s="7"/>
      <c r="B867" s="8"/>
      <c r="C867" s="9"/>
      <c r="D867" s="9"/>
      <c r="E867" s="9"/>
      <c r="F867" s="9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0.199999999999999" customHeight="1" x14ac:dyDescent="0.25">
      <c r="A868" s="7"/>
      <c r="B868" s="8"/>
      <c r="C868" s="9"/>
      <c r="D868" s="9"/>
      <c r="E868" s="9"/>
      <c r="F868" s="9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0.199999999999999" customHeight="1" x14ac:dyDescent="0.25">
      <c r="A869" s="7"/>
      <c r="B869" s="8"/>
      <c r="C869" s="9"/>
      <c r="D869" s="9"/>
      <c r="E869" s="9"/>
      <c r="F869" s="9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0.199999999999999" customHeight="1" x14ac:dyDescent="0.25">
      <c r="A870" s="7"/>
      <c r="B870" s="8"/>
      <c r="C870" s="9"/>
      <c r="D870" s="9"/>
      <c r="E870" s="9"/>
      <c r="F870" s="9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0.199999999999999" customHeight="1" x14ac:dyDescent="0.25">
      <c r="A871" s="7"/>
      <c r="B871" s="8"/>
      <c r="C871" s="9"/>
      <c r="D871" s="9"/>
      <c r="E871" s="9"/>
      <c r="F871" s="9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0.199999999999999" customHeight="1" x14ac:dyDescent="0.25">
      <c r="A872" s="7"/>
      <c r="B872" s="8"/>
      <c r="C872" s="9"/>
      <c r="D872" s="9"/>
      <c r="E872" s="9"/>
      <c r="F872" s="9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0.199999999999999" customHeight="1" x14ac:dyDescent="0.25">
      <c r="A873" s="7"/>
      <c r="B873" s="8"/>
      <c r="C873" s="9"/>
      <c r="D873" s="9"/>
      <c r="E873" s="9"/>
      <c r="F873" s="9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0.199999999999999" customHeight="1" x14ac:dyDescent="0.25">
      <c r="A874" s="7"/>
      <c r="B874" s="8"/>
      <c r="C874" s="9"/>
      <c r="D874" s="9"/>
      <c r="E874" s="9"/>
      <c r="F874" s="9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0.199999999999999" customHeight="1" x14ac:dyDescent="0.25">
      <c r="A875" s="7"/>
      <c r="B875" s="8"/>
      <c r="C875" s="9"/>
      <c r="D875" s="9"/>
      <c r="E875" s="9"/>
      <c r="F875" s="9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0.199999999999999" customHeight="1" x14ac:dyDescent="0.25">
      <c r="A876" s="7"/>
      <c r="B876" s="8"/>
      <c r="C876" s="9"/>
      <c r="D876" s="9"/>
      <c r="E876" s="9"/>
      <c r="F876" s="9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0.199999999999999" customHeight="1" x14ac:dyDescent="0.25">
      <c r="A877" s="7"/>
      <c r="B877" s="8"/>
      <c r="C877" s="9"/>
      <c r="D877" s="9"/>
      <c r="E877" s="9"/>
      <c r="F877" s="9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0.199999999999999" customHeight="1" x14ac:dyDescent="0.25">
      <c r="A878" s="7"/>
      <c r="B878" s="8"/>
      <c r="C878" s="9"/>
      <c r="D878" s="9"/>
      <c r="E878" s="9"/>
      <c r="F878" s="9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0.199999999999999" customHeight="1" x14ac:dyDescent="0.25">
      <c r="A879" s="7"/>
      <c r="B879" s="8"/>
      <c r="C879" s="9"/>
      <c r="D879" s="9"/>
      <c r="E879" s="9"/>
      <c r="F879" s="9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0.199999999999999" customHeight="1" x14ac:dyDescent="0.25">
      <c r="A880" s="7"/>
      <c r="B880" s="8"/>
      <c r="C880" s="9"/>
      <c r="D880" s="9"/>
      <c r="E880" s="9"/>
      <c r="F880" s="9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0.199999999999999" customHeight="1" x14ac:dyDescent="0.25">
      <c r="A881" s="7"/>
      <c r="B881" s="8"/>
      <c r="C881" s="9"/>
      <c r="D881" s="9"/>
      <c r="E881" s="9"/>
      <c r="F881" s="9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0.199999999999999" customHeight="1" x14ac:dyDescent="0.25">
      <c r="A882" s="7"/>
      <c r="B882" s="8"/>
      <c r="C882" s="9"/>
      <c r="D882" s="9"/>
      <c r="E882" s="9"/>
      <c r="F882" s="9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0.199999999999999" customHeight="1" x14ac:dyDescent="0.25">
      <c r="A883" s="7"/>
      <c r="B883" s="8"/>
      <c r="C883" s="9"/>
      <c r="D883" s="9"/>
      <c r="E883" s="9"/>
      <c r="F883" s="9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0.199999999999999" customHeight="1" x14ac:dyDescent="0.25">
      <c r="A884" s="7"/>
      <c r="B884" s="8"/>
      <c r="C884" s="9"/>
      <c r="D884" s="9"/>
      <c r="E884" s="9"/>
      <c r="F884" s="9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0.199999999999999" customHeight="1" x14ac:dyDescent="0.25">
      <c r="A885" s="7"/>
      <c r="B885" s="8"/>
      <c r="C885" s="9"/>
      <c r="D885" s="9"/>
      <c r="E885" s="9"/>
      <c r="F885" s="9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0.199999999999999" customHeight="1" x14ac:dyDescent="0.25">
      <c r="A886" s="7"/>
      <c r="B886" s="8"/>
      <c r="C886" s="9"/>
      <c r="D886" s="9"/>
      <c r="E886" s="9"/>
      <c r="F886" s="9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0.199999999999999" customHeight="1" x14ac:dyDescent="0.25">
      <c r="A887" s="7"/>
      <c r="B887" s="8"/>
      <c r="C887" s="9"/>
      <c r="D887" s="9"/>
      <c r="E887" s="9"/>
      <c r="F887" s="9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0.199999999999999" customHeight="1" x14ac:dyDescent="0.25">
      <c r="A888" s="7"/>
      <c r="B888" s="8"/>
      <c r="C888" s="9"/>
      <c r="D888" s="9"/>
      <c r="E888" s="9"/>
      <c r="F888" s="9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0.199999999999999" customHeight="1" x14ac:dyDescent="0.25">
      <c r="A889" s="7"/>
      <c r="B889" s="8"/>
      <c r="C889" s="9"/>
      <c r="D889" s="9"/>
      <c r="E889" s="9"/>
      <c r="F889" s="9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0.199999999999999" customHeight="1" x14ac:dyDescent="0.25">
      <c r="A890" s="7"/>
      <c r="B890" s="8"/>
      <c r="C890" s="9"/>
      <c r="D890" s="9"/>
      <c r="E890" s="9"/>
      <c r="F890" s="9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0.199999999999999" customHeight="1" x14ac:dyDescent="0.25">
      <c r="A891" s="7"/>
      <c r="B891" s="8"/>
      <c r="C891" s="9"/>
      <c r="D891" s="9"/>
      <c r="E891" s="9"/>
      <c r="F891" s="9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0.199999999999999" customHeight="1" x14ac:dyDescent="0.25">
      <c r="A892" s="7"/>
      <c r="B892" s="8"/>
      <c r="C892" s="9"/>
      <c r="D892" s="9"/>
      <c r="E892" s="9"/>
      <c r="F892" s="9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0.199999999999999" customHeight="1" x14ac:dyDescent="0.25">
      <c r="A893" s="7"/>
      <c r="B893" s="8"/>
      <c r="C893" s="9"/>
      <c r="D893" s="9"/>
      <c r="E893" s="9"/>
      <c r="F893" s="9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0.199999999999999" customHeight="1" x14ac:dyDescent="0.25">
      <c r="A894" s="7"/>
      <c r="B894" s="8"/>
      <c r="C894" s="9"/>
      <c r="D894" s="9"/>
      <c r="E894" s="9"/>
      <c r="F894" s="9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0.199999999999999" customHeight="1" x14ac:dyDescent="0.25">
      <c r="A895" s="7"/>
      <c r="B895" s="8"/>
      <c r="C895" s="9"/>
      <c r="D895" s="9"/>
      <c r="E895" s="9"/>
      <c r="F895" s="9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0.199999999999999" customHeight="1" x14ac:dyDescent="0.25">
      <c r="A896" s="7"/>
      <c r="B896" s="8"/>
      <c r="C896" s="9"/>
      <c r="D896" s="9"/>
      <c r="E896" s="9"/>
      <c r="F896" s="9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0.199999999999999" customHeight="1" x14ac:dyDescent="0.25">
      <c r="A897" s="7"/>
      <c r="B897" s="8"/>
      <c r="C897" s="9"/>
      <c r="D897" s="9"/>
      <c r="E897" s="9"/>
      <c r="F897" s="9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0.199999999999999" customHeight="1" x14ac:dyDescent="0.25">
      <c r="A898" s="7"/>
      <c r="B898" s="8"/>
      <c r="C898" s="9"/>
      <c r="D898" s="9"/>
      <c r="E898" s="9"/>
      <c r="F898" s="9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0.199999999999999" customHeight="1" x14ac:dyDescent="0.25">
      <c r="A899" s="7"/>
      <c r="B899" s="8"/>
      <c r="C899" s="9"/>
      <c r="D899" s="9"/>
      <c r="E899" s="9"/>
      <c r="F899" s="9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0.199999999999999" customHeight="1" x14ac:dyDescent="0.25">
      <c r="A900" s="7"/>
      <c r="B900" s="8"/>
      <c r="C900" s="9"/>
      <c r="D900" s="9"/>
      <c r="E900" s="9"/>
      <c r="F900" s="9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0.199999999999999" customHeight="1" x14ac:dyDescent="0.25">
      <c r="A901" s="7"/>
      <c r="B901" s="8"/>
      <c r="C901" s="9"/>
      <c r="D901" s="9"/>
      <c r="E901" s="9"/>
      <c r="F901" s="9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0.199999999999999" customHeight="1" x14ac:dyDescent="0.25">
      <c r="A902" s="7"/>
      <c r="B902" s="8"/>
      <c r="C902" s="9"/>
      <c r="D902" s="9"/>
      <c r="E902" s="9"/>
      <c r="F902" s="9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0.199999999999999" customHeight="1" x14ac:dyDescent="0.25">
      <c r="A903" s="7"/>
      <c r="B903" s="8"/>
      <c r="C903" s="9"/>
      <c r="D903" s="9"/>
      <c r="E903" s="9"/>
      <c r="F903" s="9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0.199999999999999" customHeight="1" x14ac:dyDescent="0.25">
      <c r="A904" s="7"/>
      <c r="B904" s="8"/>
      <c r="C904" s="9"/>
      <c r="D904" s="9"/>
      <c r="E904" s="9"/>
      <c r="F904" s="9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0.199999999999999" customHeight="1" x14ac:dyDescent="0.25">
      <c r="A905" s="7"/>
      <c r="B905" s="8"/>
      <c r="C905" s="9"/>
      <c r="D905" s="9"/>
      <c r="E905" s="9"/>
      <c r="F905" s="9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0.199999999999999" customHeight="1" x14ac:dyDescent="0.25">
      <c r="A906" s="7"/>
      <c r="B906" s="8"/>
      <c r="C906" s="9"/>
      <c r="D906" s="9"/>
      <c r="E906" s="9"/>
      <c r="F906" s="9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0.199999999999999" customHeight="1" x14ac:dyDescent="0.25">
      <c r="A907" s="7"/>
      <c r="B907" s="8"/>
      <c r="C907" s="9"/>
      <c r="D907" s="9"/>
      <c r="E907" s="9"/>
      <c r="F907" s="9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0.199999999999999" customHeight="1" x14ac:dyDescent="0.25">
      <c r="A908" s="7"/>
      <c r="B908" s="8"/>
      <c r="C908" s="9"/>
      <c r="D908" s="9"/>
      <c r="E908" s="9"/>
      <c r="F908" s="9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0.199999999999999" customHeight="1" x14ac:dyDescent="0.25">
      <c r="A909" s="7"/>
      <c r="B909" s="8"/>
      <c r="C909" s="9"/>
      <c r="D909" s="9"/>
      <c r="E909" s="9"/>
      <c r="F909" s="9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0.199999999999999" customHeight="1" x14ac:dyDescent="0.25">
      <c r="A910" s="7"/>
      <c r="B910" s="8"/>
      <c r="C910" s="9"/>
      <c r="D910" s="9"/>
      <c r="E910" s="9"/>
      <c r="F910" s="9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0.199999999999999" customHeight="1" x14ac:dyDescent="0.25">
      <c r="A911" s="7"/>
      <c r="B911" s="8"/>
      <c r="C911" s="9"/>
      <c r="D911" s="9"/>
      <c r="E911" s="9"/>
      <c r="F911" s="9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0.199999999999999" customHeight="1" x14ac:dyDescent="0.25">
      <c r="A912" s="7"/>
      <c r="B912" s="8"/>
      <c r="C912" s="9"/>
      <c r="D912" s="9"/>
      <c r="E912" s="9"/>
      <c r="F912" s="9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0.199999999999999" customHeight="1" x14ac:dyDescent="0.25">
      <c r="A913" s="7"/>
      <c r="B913" s="8"/>
      <c r="C913" s="9"/>
      <c r="D913" s="9"/>
      <c r="E913" s="9"/>
      <c r="F913" s="9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0.199999999999999" customHeight="1" x14ac:dyDescent="0.25">
      <c r="A914" s="7"/>
      <c r="B914" s="8"/>
      <c r="C914" s="9"/>
      <c r="D914" s="9"/>
      <c r="E914" s="9"/>
      <c r="F914" s="9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0.199999999999999" customHeight="1" x14ac:dyDescent="0.25">
      <c r="A915" s="7"/>
      <c r="B915" s="8"/>
      <c r="C915" s="9"/>
      <c r="D915" s="9"/>
      <c r="E915" s="9"/>
      <c r="F915" s="9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0.199999999999999" customHeight="1" x14ac:dyDescent="0.25">
      <c r="A916" s="7"/>
      <c r="B916" s="8"/>
      <c r="C916" s="9"/>
      <c r="D916" s="9"/>
      <c r="E916" s="9"/>
      <c r="F916" s="9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0.199999999999999" customHeight="1" x14ac:dyDescent="0.25">
      <c r="A917" s="7"/>
      <c r="B917" s="8"/>
      <c r="C917" s="9"/>
      <c r="D917" s="9"/>
      <c r="E917" s="9"/>
      <c r="F917" s="9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0.199999999999999" customHeight="1" x14ac:dyDescent="0.25">
      <c r="A918" s="7"/>
      <c r="B918" s="8"/>
      <c r="C918" s="9"/>
      <c r="D918" s="9"/>
      <c r="E918" s="9"/>
      <c r="F918" s="9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0.199999999999999" customHeight="1" x14ac:dyDescent="0.25">
      <c r="A919" s="7"/>
      <c r="B919" s="8"/>
      <c r="C919" s="9"/>
      <c r="D919" s="9"/>
      <c r="E919" s="9"/>
      <c r="F919" s="9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0.199999999999999" customHeight="1" x14ac:dyDescent="0.25">
      <c r="A920" s="7"/>
      <c r="B920" s="8"/>
      <c r="C920" s="9"/>
      <c r="D920" s="9"/>
      <c r="E920" s="9"/>
      <c r="F920" s="9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0.199999999999999" customHeight="1" x14ac:dyDescent="0.25">
      <c r="A921" s="7"/>
      <c r="B921" s="8"/>
      <c r="C921" s="9"/>
      <c r="D921" s="9"/>
      <c r="E921" s="9"/>
      <c r="F921" s="9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0.199999999999999" customHeight="1" x14ac:dyDescent="0.25">
      <c r="A922" s="7"/>
      <c r="B922" s="8"/>
      <c r="C922" s="9"/>
      <c r="D922" s="9"/>
      <c r="E922" s="9"/>
      <c r="F922" s="9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0.199999999999999" customHeight="1" x14ac:dyDescent="0.25">
      <c r="A923" s="7"/>
      <c r="B923" s="8"/>
      <c r="C923" s="9"/>
      <c r="D923" s="9"/>
      <c r="E923" s="9"/>
      <c r="F923" s="9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0.199999999999999" customHeight="1" x14ac:dyDescent="0.25">
      <c r="A924" s="7"/>
      <c r="B924" s="8"/>
      <c r="C924" s="9"/>
      <c r="D924" s="9"/>
      <c r="E924" s="9"/>
      <c r="F924" s="9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0.199999999999999" customHeight="1" x14ac:dyDescent="0.25">
      <c r="A925" s="7"/>
      <c r="B925" s="8"/>
      <c r="C925" s="9"/>
      <c r="D925" s="9"/>
      <c r="E925" s="9"/>
      <c r="F925" s="9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0.199999999999999" customHeight="1" x14ac:dyDescent="0.25">
      <c r="A926" s="7"/>
      <c r="B926" s="8"/>
      <c r="C926" s="9"/>
      <c r="D926" s="9"/>
      <c r="E926" s="9"/>
      <c r="F926" s="9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0.199999999999999" customHeight="1" x14ac:dyDescent="0.25">
      <c r="A927" s="7"/>
      <c r="B927" s="8"/>
      <c r="C927" s="9"/>
      <c r="D927" s="9"/>
      <c r="E927" s="9"/>
      <c r="F927" s="9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0.199999999999999" customHeight="1" x14ac:dyDescent="0.25">
      <c r="A928" s="7"/>
      <c r="B928" s="8"/>
      <c r="C928" s="9"/>
      <c r="D928" s="9"/>
      <c r="E928" s="9"/>
      <c r="F928" s="9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0.199999999999999" customHeight="1" x14ac:dyDescent="0.25">
      <c r="A929" s="7"/>
      <c r="B929" s="8"/>
      <c r="C929" s="9"/>
      <c r="D929" s="9"/>
      <c r="E929" s="9"/>
      <c r="F929" s="9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0.199999999999999" customHeight="1" x14ac:dyDescent="0.25">
      <c r="A930" s="7"/>
      <c r="B930" s="8"/>
      <c r="C930" s="9"/>
      <c r="D930" s="9"/>
      <c r="E930" s="9"/>
      <c r="F930" s="9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0.199999999999999" customHeight="1" x14ac:dyDescent="0.25">
      <c r="A931" s="7"/>
      <c r="B931" s="8"/>
      <c r="C931" s="9"/>
      <c r="D931" s="9"/>
      <c r="E931" s="9"/>
      <c r="F931" s="9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0.199999999999999" customHeight="1" x14ac:dyDescent="0.25">
      <c r="A932" s="7"/>
      <c r="B932" s="8"/>
      <c r="C932" s="9"/>
      <c r="D932" s="9"/>
      <c r="E932" s="9"/>
      <c r="F932" s="9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0.199999999999999" customHeight="1" x14ac:dyDescent="0.25">
      <c r="A933" s="7"/>
      <c r="B933" s="8"/>
      <c r="C933" s="9"/>
      <c r="D933" s="9"/>
      <c r="E933" s="9"/>
      <c r="F933" s="9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0.199999999999999" customHeight="1" x14ac:dyDescent="0.25">
      <c r="A934" s="7"/>
      <c r="B934" s="8"/>
      <c r="C934" s="9"/>
      <c r="D934" s="9"/>
      <c r="E934" s="9"/>
      <c r="F934" s="9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0.199999999999999" customHeight="1" x14ac:dyDescent="0.25">
      <c r="A935" s="7"/>
      <c r="B935" s="8"/>
      <c r="C935" s="9"/>
      <c r="D935" s="9"/>
      <c r="E935" s="9"/>
      <c r="F935" s="9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0.199999999999999" customHeight="1" x14ac:dyDescent="0.25">
      <c r="A936" s="7"/>
      <c r="B936" s="8"/>
      <c r="C936" s="9"/>
      <c r="D936" s="9"/>
      <c r="E936" s="9"/>
      <c r="F936" s="9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0.199999999999999" customHeight="1" x14ac:dyDescent="0.25">
      <c r="A937" s="7"/>
      <c r="B937" s="8"/>
      <c r="C937" s="9"/>
      <c r="D937" s="9"/>
      <c r="E937" s="9"/>
      <c r="F937" s="9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0.199999999999999" customHeight="1" x14ac:dyDescent="0.25">
      <c r="A938" s="7"/>
      <c r="B938" s="8"/>
      <c r="C938" s="9"/>
      <c r="D938" s="9"/>
      <c r="E938" s="9"/>
      <c r="F938" s="9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0.199999999999999" customHeight="1" x14ac:dyDescent="0.25">
      <c r="A939" s="7"/>
      <c r="B939" s="8"/>
      <c r="C939" s="9"/>
      <c r="D939" s="9"/>
      <c r="E939" s="9"/>
      <c r="F939" s="9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0.199999999999999" customHeight="1" x14ac:dyDescent="0.25">
      <c r="A940" s="7"/>
      <c r="B940" s="8"/>
      <c r="C940" s="9"/>
      <c r="D940" s="9"/>
      <c r="E940" s="9"/>
      <c r="F940" s="9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0.199999999999999" customHeight="1" x14ac:dyDescent="0.25">
      <c r="A941" s="7"/>
      <c r="B941" s="8"/>
      <c r="C941" s="9"/>
      <c r="D941" s="9"/>
      <c r="E941" s="9"/>
      <c r="F941" s="9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0.199999999999999" customHeight="1" x14ac:dyDescent="0.25">
      <c r="A942" s="7"/>
      <c r="B942" s="8"/>
      <c r="C942" s="9"/>
      <c r="D942" s="9"/>
      <c r="E942" s="9"/>
      <c r="F942" s="9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0.199999999999999" customHeight="1" x14ac:dyDescent="0.25">
      <c r="A943" s="7"/>
      <c r="B943" s="8"/>
      <c r="C943" s="9"/>
      <c r="D943" s="9"/>
      <c r="E943" s="9"/>
      <c r="F943" s="9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0.199999999999999" customHeight="1" x14ac:dyDescent="0.25">
      <c r="A944" s="7"/>
      <c r="B944" s="8"/>
      <c r="C944" s="9"/>
      <c r="D944" s="9"/>
      <c r="E944" s="9"/>
      <c r="F944" s="9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0.199999999999999" customHeight="1" x14ac:dyDescent="0.25">
      <c r="A945" s="7"/>
      <c r="B945" s="8"/>
      <c r="C945" s="9"/>
      <c r="D945" s="9"/>
      <c r="E945" s="9"/>
      <c r="F945" s="9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0.199999999999999" customHeight="1" x14ac:dyDescent="0.25">
      <c r="A946" s="7"/>
      <c r="B946" s="8"/>
      <c r="C946" s="9"/>
      <c r="D946" s="9"/>
      <c r="E946" s="9"/>
      <c r="F946" s="9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0.199999999999999" customHeight="1" x14ac:dyDescent="0.25">
      <c r="A947" s="7"/>
      <c r="B947" s="8"/>
      <c r="C947" s="9"/>
      <c r="D947" s="9"/>
      <c r="E947" s="9"/>
      <c r="F947" s="9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0.199999999999999" customHeight="1" x14ac:dyDescent="0.25">
      <c r="A948" s="7"/>
      <c r="B948" s="8"/>
      <c r="C948" s="9"/>
      <c r="D948" s="9"/>
      <c r="E948" s="9"/>
      <c r="F948" s="9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0.199999999999999" customHeight="1" x14ac:dyDescent="0.25">
      <c r="A949" s="7"/>
      <c r="B949" s="8"/>
      <c r="C949" s="9"/>
      <c r="D949" s="9"/>
      <c r="E949" s="9"/>
      <c r="F949" s="9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0.199999999999999" customHeight="1" x14ac:dyDescent="0.25">
      <c r="A950" s="7"/>
      <c r="B950" s="8"/>
      <c r="C950" s="9"/>
      <c r="D950" s="9"/>
      <c r="E950" s="9"/>
      <c r="F950" s="9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0.199999999999999" customHeight="1" x14ac:dyDescent="0.25">
      <c r="A951" s="7"/>
      <c r="B951" s="8"/>
      <c r="C951" s="9"/>
      <c r="D951" s="9"/>
      <c r="E951" s="9"/>
      <c r="F951" s="9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0.199999999999999" customHeight="1" x14ac:dyDescent="0.25">
      <c r="A952" s="7"/>
      <c r="B952" s="8"/>
      <c r="C952" s="9"/>
      <c r="D952" s="9"/>
      <c r="E952" s="9"/>
      <c r="F952" s="9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0.199999999999999" customHeight="1" x14ac:dyDescent="0.25">
      <c r="A953" s="7"/>
      <c r="B953" s="8"/>
      <c r="C953" s="9"/>
      <c r="D953" s="9"/>
      <c r="E953" s="9"/>
      <c r="F953" s="9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0.199999999999999" customHeight="1" x14ac:dyDescent="0.25">
      <c r="A954" s="7"/>
      <c r="B954" s="8"/>
      <c r="C954" s="9"/>
      <c r="D954" s="9"/>
      <c r="E954" s="9"/>
      <c r="F954" s="9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0.199999999999999" customHeight="1" x14ac:dyDescent="0.25">
      <c r="A955" s="7"/>
      <c r="B955" s="8"/>
      <c r="C955" s="9"/>
      <c r="D955" s="9"/>
      <c r="E955" s="9"/>
      <c r="F955" s="9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0.199999999999999" customHeight="1" x14ac:dyDescent="0.25">
      <c r="A956" s="7"/>
      <c r="B956" s="8"/>
      <c r="C956" s="9"/>
      <c r="D956" s="9"/>
      <c r="E956" s="9"/>
      <c r="F956" s="9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0.199999999999999" customHeight="1" x14ac:dyDescent="0.25">
      <c r="A957" s="7"/>
      <c r="B957" s="8"/>
      <c r="C957" s="9"/>
      <c r="D957" s="9"/>
      <c r="E957" s="9"/>
      <c r="F957" s="9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0.199999999999999" customHeight="1" x14ac:dyDescent="0.25">
      <c r="A958" s="7"/>
      <c r="B958" s="8"/>
      <c r="C958" s="9"/>
      <c r="D958" s="9"/>
      <c r="E958" s="9"/>
      <c r="F958" s="9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0.199999999999999" customHeight="1" x14ac:dyDescent="0.25">
      <c r="A959" s="7"/>
      <c r="B959" s="8"/>
      <c r="C959" s="9"/>
      <c r="D959" s="9"/>
      <c r="E959" s="9"/>
      <c r="F959" s="9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0.199999999999999" customHeight="1" x14ac:dyDescent="0.25">
      <c r="A960" s="7"/>
      <c r="B960" s="8"/>
      <c r="C960" s="9"/>
      <c r="D960" s="9"/>
      <c r="E960" s="9"/>
      <c r="F960" s="9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0.199999999999999" customHeight="1" x14ac:dyDescent="0.25">
      <c r="A961" s="7"/>
      <c r="B961" s="8"/>
      <c r="C961" s="9"/>
      <c r="D961" s="9"/>
      <c r="E961" s="9"/>
      <c r="F961" s="9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0.199999999999999" customHeight="1" x14ac:dyDescent="0.25">
      <c r="A962" s="7"/>
      <c r="B962" s="8"/>
      <c r="C962" s="9"/>
      <c r="D962" s="9"/>
      <c r="E962" s="9"/>
      <c r="F962" s="9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0.199999999999999" customHeight="1" x14ac:dyDescent="0.25">
      <c r="A963" s="7"/>
      <c r="B963" s="8"/>
      <c r="C963" s="9"/>
      <c r="D963" s="9"/>
      <c r="E963" s="9"/>
      <c r="F963" s="9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0.199999999999999" customHeight="1" x14ac:dyDescent="0.25">
      <c r="A964" s="7"/>
      <c r="B964" s="8"/>
      <c r="C964" s="9"/>
      <c r="D964" s="9"/>
      <c r="E964" s="9"/>
      <c r="F964" s="9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0.199999999999999" customHeight="1" x14ac:dyDescent="0.25">
      <c r="A965" s="7"/>
      <c r="B965" s="8"/>
      <c r="C965" s="9"/>
      <c r="D965" s="9"/>
      <c r="E965" s="9"/>
      <c r="F965" s="9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0.199999999999999" customHeight="1" x14ac:dyDescent="0.25">
      <c r="A966" s="7"/>
      <c r="B966" s="8"/>
      <c r="C966" s="9"/>
      <c r="D966" s="9"/>
      <c r="E966" s="9"/>
      <c r="F966" s="9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0.199999999999999" customHeight="1" x14ac:dyDescent="0.25">
      <c r="A967" s="7"/>
      <c r="B967" s="8"/>
      <c r="C967" s="9"/>
      <c r="D967" s="9"/>
      <c r="E967" s="9"/>
      <c r="F967" s="9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0.199999999999999" customHeight="1" x14ac:dyDescent="0.25">
      <c r="A968" s="7"/>
      <c r="B968" s="8"/>
      <c r="C968" s="9"/>
      <c r="D968" s="9"/>
      <c r="E968" s="9"/>
      <c r="F968" s="9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0.199999999999999" customHeight="1" x14ac:dyDescent="0.25">
      <c r="A969" s="7"/>
      <c r="B969" s="8"/>
      <c r="C969" s="9"/>
      <c r="D969" s="9"/>
      <c r="E969" s="9"/>
      <c r="F969" s="9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0.199999999999999" customHeight="1" x14ac:dyDescent="0.25">
      <c r="A970" s="7"/>
      <c r="B970" s="8"/>
      <c r="C970" s="9"/>
      <c r="D970" s="9"/>
      <c r="E970" s="9"/>
      <c r="F970" s="9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0.199999999999999" customHeight="1" x14ac:dyDescent="0.25">
      <c r="A971" s="7"/>
      <c r="B971" s="8"/>
      <c r="C971" s="9"/>
      <c r="D971" s="9"/>
      <c r="E971" s="9"/>
      <c r="F971" s="9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0.199999999999999" customHeight="1" x14ac:dyDescent="0.25">
      <c r="A972" s="7"/>
      <c r="B972" s="8"/>
      <c r="C972" s="9"/>
      <c r="D972" s="9"/>
      <c r="E972" s="9"/>
      <c r="F972" s="9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0.199999999999999" customHeight="1" x14ac:dyDescent="0.25">
      <c r="A973" s="7"/>
      <c r="B973" s="8"/>
      <c r="C973" s="9"/>
      <c r="D973" s="9"/>
      <c r="E973" s="9"/>
      <c r="F973" s="9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0.199999999999999" customHeight="1" x14ac:dyDescent="0.25">
      <c r="A974" s="7"/>
      <c r="B974" s="8"/>
      <c r="C974" s="9"/>
      <c r="D974" s="9"/>
      <c r="E974" s="9"/>
      <c r="F974" s="9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0.199999999999999" customHeight="1" x14ac:dyDescent="0.25">
      <c r="A975" s="7"/>
      <c r="B975" s="8"/>
      <c r="C975" s="9"/>
      <c r="D975" s="9"/>
      <c r="E975" s="9"/>
      <c r="F975" s="9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0.199999999999999" customHeight="1" x14ac:dyDescent="0.25">
      <c r="A976" s="7"/>
      <c r="B976" s="8"/>
      <c r="C976" s="9"/>
      <c r="D976" s="9"/>
      <c r="E976" s="9"/>
      <c r="F976" s="9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0.199999999999999" customHeight="1" x14ac:dyDescent="0.25">
      <c r="A977" s="7"/>
      <c r="B977" s="8"/>
      <c r="C977" s="9"/>
      <c r="D977" s="9"/>
      <c r="E977" s="9"/>
      <c r="F977" s="9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0.199999999999999" customHeight="1" x14ac:dyDescent="0.25">
      <c r="A978" s="7"/>
      <c r="B978" s="8"/>
      <c r="C978" s="9"/>
      <c r="D978" s="9"/>
      <c r="E978" s="9"/>
      <c r="F978" s="9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0.199999999999999" customHeight="1" x14ac:dyDescent="0.25">
      <c r="A979" s="7"/>
      <c r="B979" s="8"/>
      <c r="C979" s="9"/>
      <c r="D979" s="9"/>
      <c r="E979" s="9"/>
      <c r="F979" s="9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0.199999999999999" customHeight="1" x14ac:dyDescent="0.25">
      <c r="A980" s="7"/>
      <c r="B980" s="8"/>
      <c r="C980" s="9"/>
      <c r="D980" s="9"/>
      <c r="E980" s="9"/>
      <c r="F980" s="9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0.199999999999999" customHeight="1" x14ac:dyDescent="0.25">
      <c r="A981" s="7"/>
      <c r="B981" s="8"/>
      <c r="C981" s="9"/>
      <c r="D981" s="9"/>
      <c r="E981" s="9"/>
      <c r="F981" s="9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0.199999999999999" customHeight="1" x14ac:dyDescent="0.25">
      <c r="A982" s="7"/>
      <c r="B982" s="8"/>
      <c r="C982" s="9"/>
      <c r="D982" s="9"/>
      <c r="E982" s="9"/>
      <c r="F982" s="9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0.199999999999999" customHeight="1" x14ac:dyDescent="0.25">
      <c r="A983" s="7"/>
      <c r="B983" s="8"/>
      <c r="C983" s="9"/>
      <c r="D983" s="9"/>
      <c r="E983" s="9"/>
      <c r="F983" s="9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0.199999999999999" customHeight="1" x14ac:dyDescent="0.25">
      <c r="A984" s="7"/>
      <c r="B984" s="8"/>
      <c r="C984" s="9"/>
      <c r="D984" s="9"/>
      <c r="E984" s="9"/>
      <c r="F984" s="9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0.199999999999999" customHeight="1" x14ac:dyDescent="0.25">
      <c r="A985" s="7"/>
      <c r="B985" s="8"/>
      <c r="C985" s="9"/>
      <c r="D985" s="9"/>
      <c r="E985" s="9"/>
      <c r="F985" s="9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0.199999999999999" customHeight="1" x14ac:dyDescent="0.25">
      <c r="A986" s="7"/>
      <c r="B986" s="8"/>
      <c r="C986" s="9"/>
      <c r="D986" s="9"/>
      <c r="E986" s="9"/>
      <c r="F986" s="9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0.199999999999999" customHeight="1" x14ac:dyDescent="0.25">
      <c r="A987" s="7"/>
      <c r="B987" s="8"/>
      <c r="C987" s="9"/>
      <c r="D987" s="9"/>
      <c r="E987" s="9"/>
      <c r="F987" s="9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0.199999999999999" customHeight="1" x14ac:dyDescent="0.25">
      <c r="A988" s="7"/>
      <c r="B988" s="8"/>
      <c r="C988" s="9"/>
      <c r="D988" s="9"/>
      <c r="E988" s="9"/>
      <c r="F988" s="9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0.199999999999999" customHeight="1" x14ac:dyDescent="0.25">
      <c r="A989" s="7"/>
      <c r="B989" s="8"/>
      <c r="C989" s="9"/>
      <c r="D989" s="9"/>
      <c r="E989" s="9"/>
      <c r="F989" s="9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0.199999999999999" customHeight="1" x14ac:dyDescent="0.25">
      <c r="A990" s="7"/>
      <c r="B990" s="8"/>
      <c r="C990" s="9"/>
      <c r="D990" s="9"/>
      <c r="E990" s="9"/>
      <c r="F990" s="9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0.199999999999999" customHeight="1" x14ac:dyDescent="0.25">
      <c r="A991" s="7"/>
      <c r="B991" s="8"/>
      <c r="C991" s="9"/>
      <c r="D991" s="9"/>
      <c r="E991" s="9"/>
      <c r="F991" s="9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0.199999999999999" customHeight="1" x14ac:dyDescent="0.25">
      <c r="A992" s="7"/>
      <c r="B992" s="8"/>
      <c r="C992" s="9"/>
      <c r="D992" s="9"/>
      <c r="E992" s="9"/>
      <c r="F992" s="9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0.199999999999999" customHeight="1" x14ac:dyDescent="0.25">
      <c r="A993" s="7"/>
      <c r="B993" s="8"/>
      <c r="C993" s="9"/>
      <c r="D993" s="9"/>
      <c r="E993" s="9"/>
      <c r="F993" s="9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0.199999999999999" customHeight="1" x14ac:dyDescent="0.25">
      <c r="A994" s="7"/>
      <c r="B994" s="8"/>
      <c r="C994" s="9"/>
      <c r="D994" s="9"/>
      <c r="E994" s="9"/>
      <c r="F994" s="9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0.199999999999999" customHeight="1" x14ac:dyDescent="0.25">
      <c r="A995" s="7"/>
      <c r="B995" s="8"/>
      <c r="C995" s="9"/>
      <c r="D995" s="9"/>
      <c r="E995" s="9"/>
      <c r="F995" s="9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0.199999999999999" customHeight="1" x14ac:dyDescent="0.25">
      <c r="A996" s="7"/>
      <c r="B996" s="8"/>
      <c r="C996" s="9"/>
      <c r="D996" s="9"/>
      <c r="E996" s="9"/>
      <c r="F996" s="9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0.199999999999999" customHeight="1" x14ac:dyDescent="0.25">
      <c r="A997" s="7"/>
      <c r="B997" s="8"/>
      <c r="C997" s="9"/>
      <c r="D997" s="9"/>
      <c r="E997" s="9"/>
      <c r="F997" s="9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0.199999999999999" customHeight="1" x14ac:dyDescent="0.25">
      <c r="A998" s="7"/>
      <c r="B998" s="8"/>
      <c r="C998" s="9"/>
      <c r="D998" s="9"/>
      <c r="E998" s="9"/>
      <c r="F998" s="9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0.199999999999999" customHeight="1" x14ac:dyDescent="0.25">
      <c r="A999" s="7"/>
      <c r="B999" s="8"/>
      <c r="C999" s="9"/>
      <c r="D999" s="9"/>
      <c r="E999" s="9"/>
      <c r="F999" s="9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0.199999999999999" customHeight="1" x14ac:dyDescent="0.25">
      <c r="A1000" s="7"/>
      <c r="B1000" s="8"/>
      <c r="C1000" s="9"/>
      <c r="D1000" s="9"/>
      <c r="E1000" s="9"/>
      <c r="F1000" s="9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10.199999999999999" customHeight="1" x14ac:dyDescent="0.25">
      <c r="A1001" s="7"/>
      <c r="B1001" s="8"/>
      <c r="C1001" s="9"/>
      <c r="D1001" s="9"/>
      <c r="E1001" s="9"/>
      <c r="F1001" s="9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 ht="10.199999999999999" customHeight="1" x14ac:dyDescent="0.25">
      <c r="A1002" s="7"/>
      <c r="B1002" s="8"/>
      <c r="C1002" s="9"/>
      <c r="D1002" s="9"/>
      <c r="E1002" s="9"/>
      <c r="F1002" s="9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spans="1:26" ht="10.199999999999999" customHeight="1" x14ac:dyDescent="0.25">
      <c r="A1003" s="7"/>
      <c r="B1003" s="8"/>
      <c r="C1003" s="9"/>
      <c r="D1003" s="9"/>
      <c r="E1003" s="9"/>
      <c r="F1003" s="9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spans="1:26" ht="10.199999999999999" customHeight="1" x14ac:dyDescent="0.25">
      <c r="A1004" s="7"/>
      <c r="B1004" s="8"/>
      <c r="C1004" s="9"/>
      <c r="D1004" s="9"/>
      <c r="E1004" s="9"/>
      <c r="F1004" s="9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spans="1:26" ht="10.199999999999999" customHeight="1" x14ac:dyDescent="0.25">
      <c r="A1005" s="7"/>
      <c r="B1005" s="8"/>
      <c r="C1005" s="9"/>
      <c r="D1005" s="9"/>
      <c r="E1005" s="9"/>
      <c r="F1005" s="9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spans="1:26" ht="10.199999999999999" customHeight="1" x14ac:dyDescent="0.25">
      <c r="A1006" s="7"/>
      <c r="B1006" s="8"/>
      <c r="C1006" s="9"/>
      <c r="D1006" s="9"/>
      <c r="E1006" s="9"/>
      <c r="F1006" s="9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spans="1:26" ht="10.199999999999999" customHeight="1" x14ac:dyDescent="0.25">
      <c r="A1007" s="7"/>
      <c r="B1007" s="8"/>
      <c r="C1007" s="9"/>
      <c r="D1007" s="9"/>
      <c r="E1007" s="9"/>
      <c r="F1007" s="9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spans="1:26" ht="10.199999999999999" customHeight="1" x14ac:dyDescent="0.25">
      <c r="A1008" s="7"/>
      <c r="B1008" s="8"/>
      <c r="C1008" s="9"/>
      <c r="D1008" s="9"/>
      <c r="E1008" s="9"/>
      <c r="F1008" s="9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spans="1:26" ht="10.199999999999999" customHeight="1" x14ac:dyDescent="0.25">
      <c r="A1009" s="7"/>
      <c r="B1009" s="8"/>
      <c r="C1009" s="9"/>
      <c r="D1009" s="9"/>
      <c r="E1009" s="9"/>
      <c r="F1009" s="9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spans="1:26" ht="10.199999999999999" customHeight="1" x14ac:dyDescent="0.25">
      <c r="A1010" s="7"/>
      <c r="B1010" s="8"/>
      <c r="C1010" s="9"/>
      <c r="D1010" s="9"/>
      <c r="E1010" s="9"/>
      <c r="F1010" s="9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 spans="1:26" ht="10.199999999999999" customHeight="1" x14ac:dyDescent="0.25">
      <c r="A1011" s="7"/>
      <c r="B1011" s="8"/>
      <c r="C1011" s="9"/>
      <c r="D1011" s="9"/>
      <c r="E1011" s="9"/>
      <c r="F1011" s="9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 spans="1:26" ht="10.199999999999999" customHeight="1" x14ac:dyDescent="0.25">
      <c r="A1012" s="7"/>
      <c r="B1012" s="8"/>
      <c r="C1012" s="9"/>
      <c r="D1012" s="9"/>
      <c r="E1012" s="9"/>
      <c r="F1012" s="9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 spans="1:26" ht="10.199999999999999" customHeight="1" x14ac:dyDescent="0.25">
      <c r="A1013" s="7"/>
      <c r="B1013" s="8"/>
      <c r="C1013" s="9"/>
      <c r="D1013" s="9"/>
      <c r="E1013" s="9"/>
      <c r="F1013" s="9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 spans="1:26" ht="10.199999999999999" customHeight="1" x14ac:dyDescent="0.25">
      <c r="A1014" s="7"/>
      <c r="B1014" s="8"/>
      <c r="C1014" s="9"/>
      <c r="D1014" s="9"/>
      <c r="E1014" s="9"/>
      <c r="F1014" s="9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 spans="1:26" ht="10.199999999999999" customHeight="1" x14ac:dyDescent="0.25">
      <c r="A1015" s="7"/>
      <c r="B1015" s="8"/>
      <c r="C1015" s="9"/>
      <c r="D1015" s="9"/>
      <c r="E1015" s="9"/>
      <c r="F1015" s="9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 spans="1:26" ht="10.199999999999999" customHeight="1" x14ac:dyDescent="0.25">
      <c r="A1016" s="7"/>
      <c r="B1016" s="8"/>
      <c r="C1016" s="9"/>
      <c r="D1016" s="9"/>
      <c r="E1016" s="9"/>
      <c r="F1016" s="9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 spans="1:26" ht="10.199999999999999" customHeight="1" x14ac:dyDescent="0.25">
      <c r="A1017" s="7"/>
      <c r="B1017" s="8"/>
      <c r="C1017" s="9"/>
      <c r="D1017" s="9"/>
      <c r="E1017" s="9"/>
      <c r="F1017" s="9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 spans="1:26" ht="10.199999999999999" customHeight="1" x14ac:dyDescent="0.25">
      <c r="A1018" s="7"/>
      <c r="B1018" s="8"/>
      <c r="C1018" s="9"/>
      <c r="D1018" s="9"/>
      <c r="E1018" s="9"/>
      <c r="F1018" s="9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 spans="1:26" ht="10.199999999999999" customHeight="1" x14ac:dyDescent="0.25">
      <c r="A1019" s="7"/>
      <c r="B1019" s="8"/>
      <c r="C1019" s="9"/>
      <c r="D1019" s="9"/>
      <c r="E1019" s="9"/>
      <c r="F1019" s="9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 spans="1:26" ht="10.199999999999999" customHeight="1" x14ac:dyDescent="0.25">
      <c r="A1020" s="7"/>
      <c r="B1020" s="8"/>
      <c r="C1020" s="9"/>
      <c r="D1020" s="9"/>
      <c r="E1020" s="9"/>
      <c r="F1020" s="9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 spans="1:26" ht="10.199999999999999" customHeight="1" x14ac:dyDescent="0.25">
      <c r="A1021" s="7"/>
      <c r="B1021" s="8"/>
      <c r="C1021" s="9"/>
      <c r="D1021" s="9"/>
      <c r="E1021" s="9"/>
      <c r="F1021" s="9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 spans="1:26" ht="10.199999999999999" customHeight="1" x14ac:dyDescent="0.25">
      <c r="A1022" s="7"/>
      <c r="B1022" s="8"/>
      <c r="C1022" s="9"/>
      <c r="D1022" s="9"/>
      <c r="E1022" s="9"/>
      <c r="F1022" s="9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 spans="1:26" ht="10.199999999999999" customHeight="1" x14ac:dyDescent="0.25">
      <c r="A1023" s="7"/>
      <c r="B1023" s="8"/>
      <c r="C1023" s="9"/>
      <c r="D1023" s="9"/>
      <c r="E1023" s="9"/>
      <c r="F1023" s="9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  <row r="1024" spans="1:26" ht="10.199999999999999" customHeight="1" x14ac:dyDescent="0.25">
      <c r="A1024" s="7"/>
      <c r="B1024" s="8"/>
      <c r="C1024" s="9"/>
      <c r="D1024" s="9"/>
      <c r="E1024" s="9"/>
      <c r="F1024" s="9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</row>
    <row r="1025" spans="1:26" ht="10.199999999999999" customHeight="1" x14ac:dyDescent="0.25">
      <c r="A1025" s="7"/>
      <c r="B1025" s="8"/>
      <c r="C1025" s="9"/>
      <c r="D1025" s="9"/>
      <c r="E1025" s="9"/>
      <c r="F1025" s="9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</row>
    <row r="1026" spans="1:26" ht="10.199999999999999" customHeight="1" x14ac:dyDescent="0.25">
      <c r="A1026" s="7"/>
      <c r="B1026" s="8"/>
      <c r="C1026" s="9"/>
      <c r="D1026" s="9"/>
      <c r="E1026" s="9"/>
      <c r="F1026" s="9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</row>
    <row r="1027" spans="1:26" ht="10.199999999999999" customHeight="1" x14ac:dyDescent="0.25">
      <c r="A1027" s="7"/>
      <c r="B1027" s="8"/>
      <c r="C1027" s="9"/>
      <c r="D1027" s="9"/>
      <c r="E1027" s="9"/>
      <c r="F1027" s="9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</row>
    <row r="1028" spans="1:26" ht="10.199999999999999" customHeight="1" x14ac:dyDescent="0.25">
      <c r="A1028" s="7"/>
      <c r="B1028" s="8"/>
      <c r="C1028" s="9"/>
      <c r="D1028" s="9"/>
      <c r="E1028" s="9"/>
      <c r="F1028" s="9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</row>
  </sheetData>
  <mergeCells count="17">
    <mergeCell ref="D107:D112"/>
    <mergeCell ref="D36:D43"/>
    <mergeCell ref="D44:D57"/>
    <mergeCell ref="D58:D64"/>
    <mergeCell ref="D65:D78"/>
    <mergeCell ref="D79:D106"/>
    <mergeCell ref="B7:F7"/>
    <mergeCell ref="D9:D14"/>
    <mergeCell ref="D15:D22"/>
    <mergeCell ref="D24:D25"/>
    <mergeCell ref="D26:D35"/>
    <mergeCell ref="B3:C3"/>
    <mergeCell ref="D3:F3"/>
    <mergeCell ref="B4:C4"/>
    <mergeCell ref="D4:F4"/>
    <mergeCell ref="B5:C5"/>
    <mergeCell ref="D5:F5"/>
  </mergeCells>
  <hyperlinks>
    <hyperlink ref="D9" location="Login!A1" display="Login!A1" xr:uid="{00000000-0004-0000-0100-000000000000}"/>
    <hyperlink ref="D15" location="Profile!A1" display="Profile!A1" xr:uid="{00000000-0004-0000-0100-000004000000}"/>
    <hyperlink ref="D26" location="null!A1" display="null!A1" xr:uid="{00000000-0004-0000-0100-000007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9"/>
  <sheetViews>
    <sheetView topLeftCell="A9" workbookViewId="0">
      <selection activeCell="K19" sqref="K19"/>
    </sheetView>
  </sheetViews>
  <sheetFormatPr defaultColWidth="12.6640625" defaultRowHeight="13.2" x14ac:dyDescent="0.2"/>
  <cols>
    <col min="1" max="1" width="4.44140625" customWidth="1"/>
    <col min="2" max="2" width="18.33203125" customWidth="1"/>
    <col min="3" max="3" width="44" customWidth="1"/>
    <col min="4" max="6" width="11.6640625" customWidth="1"/>
    <col min="7" max="7" width="9" customWidth="1"/>
    <col min="8" max="8" width="28" customWidth="1"/>
    <col min="9" max="26" width="9" customWidth="1"/>
  </cols>
  <sheetData>
    <row r="1" spans="1:26" ht="20.399999999999999" customHeight="1" x14ac:dyDescent="0.4">
      <c r="A1" s="18"/>
      <c r="B1" s="150" t="s">
        <v>20</v>
      </c>
      <c r="C1" s="151"/>
      <c r="D1" s="151"/>
      <c r="E1" s="151"/>
      <c r="F1" s="151"/>
      <c r="G1" s="151"/>
      <c r="H1" s="152"/>
      <c r="I1" s="18"/>
      <c r="J1" s="18"/>
      <c r="K1" s="18"/>
      <c r="L1" s="18"/>
      <c r="M1" s="18"/>
      <c r="N1" s="18"/>
      <c r="O1" s="18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1.4" customHeight="1" x14ac:dyDescent="0.25">
      <c r="A2" s="112"/>
      <c r="B2" s="112"/>
      <c r="C2" s="18"/>
      <c r="D2" s="18"/>
      <c r="E2" s="18"/>
      <c r="F2" s="18"/>
      <c r="G2" s="18"/>
      <c r="H2" s="113"/>
      <c r="I2" s="18"/>
      <c r="J2" s="18"/>
      <c r="K2" s="18"/>
      <c r="L2" s="18"/>
      <c r="M2" s="18"/>
      <c r="N2" s="18"/>
      <c r="O2" s="18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0.399999999999999" customHeight="1" x14ac:dyDescent="0.25">
      <c r="A3" s="18"/>
      <c r="B3" s="114" t="s">
        <v>1</v>
      </c>
      <c r="C3" s="146" t="s">
        <v>32</v>
      </c>
      <c r="D3" s="136"/>
      <c r="E3" s="147" t="s">
        <v>2</v>
      </c>
      <c r="F3" s="136"/>
      <c r="G3" s="153" t="s">
        <v>33</v>
      </c>
      <c r="H3" s="136"/>
      <c r="I3" s="18"/>
      <c r="J3" s="18"/>
      <c r="K3" s="18"/>
      <c r="L3" s="18"/>
      <c r="M3" s="18"/>
      <c r="N3" s="18"/>
      <c r="O3" s="18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8" customHeight="1" x14ac:dyDescent="0.25">
      <c r="A4" s="18"/>
      <c r="B4" s="114" t="s">
        <v>3</v>
      </c>
      <c r="C4" s="146" t="s">
        <v>34</v>
      </c>
      <c r="D4" s="136"/>
      <c r="E4" s="147" t="s">
        <v>21</v>
      </c>
      <c r="F4" s="136"/>
      <c r="G4" s="153" t="s">
        <v>357</v>
      </c>
      <c r="H4" s="136"/>
      <c r="I4" s="18"/>
      <c r="J4" s="18"/>
      <c r="K4" s="18"/>
      <c r="L4" s="18"/>
      <c r="M4" s="18"/>
      <c r="N4" s="18"/>
      <c r="O4" s="18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6.8" customHeight="1" x14ac:dyDescent="0.25">
      <c r="A5" s="18"/>
      <c r="B5" s="115" t="s">
        <v>5</v>
      </c>
      <c r="C5" s="146" t="str">
        <f>C4&amp;"_Test Report_v1.0"</f>
        <v>SP26SE088_Test Report_v1.0</v>
      </c>
      <c r="D5" s="136"/>
      <c r="E5" s="147" t="s">
        <v>4</v>
      </c>
      <c r="F5" s="136"/>
      <c r="G5" s="148">
        <v>46249</v>
      </c>
      <c r="H5" s="136"/>
      <c r="I5" s="18"/>
      <c r="J5" s="18"/>
      <c r="K5" s="18"/>
      <c r="L5" s="18"/>
      <c r="M5" s="18"/>
      <c r="N5" s="18"/>
      <c r="O5" s="18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7.399999999999999" customHeight="1" x14ac:dyDescent="0.25">
      <c r="A6" s="112"/>
      <c r="B6" s="115" t="s">
        <v>22</v>
      </c>
      <c r="C6" s="149"/>
      <c r="D6" s="135"/>
      <c r="E6" s="135"/>
      <c r="F6" s="135"/>
      <c r="G6" s="135"/>
      <c r="H6" s="136"/>
      <c r="I6" s="18"/>
      <c r="J6" s="18"/>
      <c r="K6" s="18"/>
      <c r="L6" s="18"/>
      <c r="M6" s="18"/>
      <c r="N6" s="18"/>
      <c r="O6" s="18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1.4" customHeight="1" x14ac:dyDescent="0.25">
      <c r="A7" s="112"/>
      <c r="B7" s="116"/>
      <c r="C7" s="16"/>
      <c r="D7" s="18"/>
      <c r="E7" s="18"/>
      <c r="F7" s="18"/>
      <c r="G7" s="18"/>
      <c r="H7" s="113"/>
      <c r="I7" s="18"/>
      <c r="J7" s="18"/>
      <c r="K7" s="18"/>
      <c r="L7" s="18"/>
      <c r="M7" s="18"/>
      <c r="N7" s="18"/>
      <c r="O7" s="18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0.199999999999999" customHeight="1" x14ac:dyDescent="0.25">
      <c r="A8" s="18"/>
      <c r="B8" s="116"/>
      <c r="C8" s="16"/>
      <c r="D8" s="18"/>
      <c r="E8" s="18"/>
      <c r="F8" s="18"/>
      <c r="G8" s="18"/>
      <c r="H8" s="113"/>
      <c r="I8" s="18"/>
      <c r="J8" s="18"/>
      <c r="K8" s="18"/>
      <c r="L8" s="18"/>
      <c r="M8" s="18"/>
      <c r="N8" s="18"/>
      <c r="O8" s="18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0.199999999999999" customHeight="1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0.199999999999999" customHeight="1" x14ac:dyDescent="0.25">
      <c r="A10" s="117"/>
      <c r="B10" s="118" t="s">
        <v>15</v>
      </c>
      <c r="C10" s="12" t="s">
        <v>23</v>
      </c>
      <c r="D10" s="12" t="s">
        <v>24</v>
      </c>
      <c r="E10" s="12" t="s">
        <v>25</v>
      </c>
      <c r="F10" s="12" t="s">
        <v>26</v>
      </c>
      <c r="G10" s="119" t="s">
        <v>27</v>
      </c>
      <c r="H10" s="13" t="s">
        <v>28</v>
      </c>
      <c r="I10" s="18"/>
      <c r="J10" s="18"/>
      <c r="K10" s="18"/>
      <c r="L10" s="18"/>
      <c r="M10" s="18"/>
      <c r="N10" s="18"/>
      <c r="O10" s="18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4" customHeight="1" x14ac:dyDescent="0.25">
      <c r="A11" s="117"/>
      <c r="B11" s="120">
        <v>1</v>
      </c>
      <c r="C11" s="121" t="str">
        <f>Login!B2</f>
        <v>Login</v>
      </c>
      <c r="D11" s="122">
        <f>Login!B6</f>
        <v>6</v>
      </c>
      <c r="E11" s="122">
        <f>Login!C6</f>
        <v>0</v>
      </c>
      <c r="F11" s="122">
        <f>Login!D6</f>
        <v>0</v>
      </c>
      <c r="G11" s="122">
        <f>Login!E6</f>
        <v>0</v>
      </c>
      <c r="H11" s="170">
        <f>Login!B4</f>
        <v>6</v>
      </c>
      <c r="I11" s="18"/>
      <c r="J11" s="18"/>
      <c r="K11" s="18"/>
      <c r="L11" s="18"/>
      <c r="M11" s="18"/>
      <c r="N11" s="18"/>
      <c r="O11" s="18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4" customHeight="1" x14ac:dyDescent="0.25">
      <c r="A12" s="117"/>
      <c r="B12" s="120">
        <v>2</v>
      </c>
      <c r="C12" s="121" t="str">
        <f>'Register eKYC'!B2</f>
        <v>Register eKYC</v>
      </c>
      <c r="D12" s="122">
        <f>'Register eKYC'!B6</f>
        <v>8</v>
      </c>
      <c r="E12" s="122">
        <f>'Register eKYC'!C6</f>
        <v>0</v>
      </c>
      <c r="F12" s="122">
        <f>'Register eKYC'!D6</f>
        <v>0</v>
      </c>
      <c r="G12" s="122">
        <f>'Register eKYC'!E6</f>
        <v>0</v>
      </c>
      <c r="H12" s="170">
        <f>'Register eKYC'!B4</f>
        <v>8</v>
      </c>
      <c r="I12" s="18"/>
      <c r="J12" s="18"/>
      <c r="K12" s="18"/>
      <c r="L12" s="18"/>
      <c r="M12" s="18"/>
      <c r="N12" s="18"/>
      <c r="O12" s="18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4" customHeight="1" x14ac:dyDescent="0.25">
      <c r="A13" s="117"/>
      <c r="B13" s="120">
        <v>3</v>
      </c>
      <c r="C13" s="121" t="str">
        <f>Logout!B2</f>
        <v>Logout</v>
      </c>
      <c r="D13" s="122">
        <f>Logout!B6</f>
        <v>1</v>
      </c>
      <c r="E13" s="123">
        <f>Logout!C6</f>
        <v>0</v>
      </c>
      <c r="F13" s="123">
        <f>Logout!D6</f>
        <v>0</v>
      </c>
      <c r="G13" s="123">
        <f>Logout!E6</f>
        <v>0</v>
      </c>
      <c r="H13" s="170">
        <f>Logout!B4</f>
        <v>1</v>
      </c>
      <c r="I13" s="18"/>
      <c r="J13" s="18"/>
      <c r="K13" s="18"/>
      <c r="L13" s="18"/>
      <c r="M13" s="18"/>
      <c r="N13" s="18"/>
      <c r="O13" s="18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4" customHeight="1" x14ac:dyDescent="0.25">
      <c r="A14" s="117"/>
      <c r="B14" s="120">
        <v>4</v>
      </c>
      <c r="C14" s="121" t="str">
        <f>Password!B2</f>
        <v>Password</v>
      </c>
      <c r="D14" s="122">
        <f>Password!B6</f>
        <v>2</v>
      </c>
      <c r="E14" s="122">
        <f>Password!C6</f>
        <v>0</v>
      </c>
      <c r="F14" s="122">
        <f>Password!D6</f>
        <v>0</v>
      </c>
      <c r="G14" s="122">
        <f>Password!E6</f>
        <v>0</v>
      </c>
      <c r="H14" s="170">
        <f>Password!B4</f>
        <v>2</v>
      </c>
      <c r="I14" s="18"/>
      <c r="J14" s="18"/>
      <c r="K14" s="18"/>
      <c r="L14" s="18"/>
      <c r="M14" s="18"/>
      <c r="N14" s="18"/>
      <c r="O14" s="18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4" customHeight="1" x14ac:dyDescent="0.25">
      <c r="A15" s="117"/>
      <c r="B15" s="120">
        <v>5</v>
      </c>
      <c r="C15" s="121" t="str">
        <f>'Profile Trust'!B2</f>
        <v>Profile Trust</v>
      </c>
      <c r="D15" s="122">
        <f>'Profile Trust'!B6</f>
        <v>10</v>
      </c>
      <c r="E15" s="122">
        <f>'Profile Trust'!C6</f>
        <v>0</v>
      </c>
      <c r="F15" s="122">
        <f>'Profile Trust'!D6</f>
        <v>0</v>
      </c>
      <c r="G15" s="122">
        <f>'Profile Trust'!E6</f>
        <v>0</v>
      </c>
      <c r="H15" s="170">
        <f>'Profile Trust'!B4</f>
        <v>10</v>
      </c>
      <c r="I15" s="18"/>
      <c r="J15" s="18"/>
      <c r="K15" s="18"/>
      <c r="L15" s="18"/>
      <c r="M15" s="18"/>
      <c r="N15" s="18"/>
      <c r="O15" s="18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4" customHeight="1" x14ac:dyDescent="0.25">
      <c r="A16" s="117"/>
      <c r="B16" s="120">
        <v>6</v>
      </c>
      <c r="C16" s="121" t="str">
        <f>'Admin Controls'!B2</f>
        <v>Admin Controls</v>
      </c>
      <c r="D16" s="122">
        <f>'Admin Controls'!B6</f>
        <v>8</v>
      </c>
      <c r="E16" s="122">
        <f>'Admin Controls'!C6</f>
        <v>0</v>
      </c>
      <c r="F16" s="122">
        <f>'Admin Controls'!D6</f>
        <v>0</v>
      </c>
      <c r="G16" s="122">
        <f>'Admin Controls'!E6</f>
        <v>0</v>
      </c>
      <c r="H16" s="170">
        <f>'Admin Controls'!B4</f>
        <v>8</v>
      </c>
      <c r="I16" s="18"/>
      <c r="J16" s="18"/>
      <c r="K16" s="18"/>
      <c r="L16" s="18"/>
      <c r="M16" s="18"/>
      <c r="N16" s="18"/>
      <c r="O16" s="18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4" customHeight="1" x14ac:dyDescent="0.25">
      <c r="A17" s="117"/>
      <c r="B17" s="120">
        <v>7</v>
      </c>
      <c r="C17" s="121" t="str">
        <f>'Food Listings'!B2</f>
        <v>Food Listings</v>
      </c>
      <c r="D17" s="122">
        <f>'Food Listings'!B6</f>
        <v>14</v>
      </c>
      <c r="E17" s="122">
        <f>'Food Listings'!C6</f>
        <v>0</v>
      </c>
      <c r="F17" s="122">
        <f>'Food Listings'!D6</f>
        <v>0</v>
      </c>
      <c r="G17" s="122">
        <f>'Food Listings'!E6</f>
        <v>0</v>
      </c>
      <c r="H17" s="170">
        <f>'Food Listings'!B4</f>
        <v>14</v>
      </c>
      <c r="I17" s="18"/>
      <c r="J17" s="18"/>
      <c r="K17" s="18"/>
      <c r="L17" s="18"/>
      <c r="M17" s="18"/>
      <c r="N17" s="18"/>
      <c r="O17" s="18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4" customHeight="1" x14ac:dyDescent="0.25">
      <c r="A18" s="117"/>
      <c r="B18" s="120">
        <v>8</v>
      </c>
      <c r="C18" s="121" t="str">
        <f>'Reservations QR'!B2</f>
        <v>Reservations QR</v>
      </c>
      <c r="D18" s="122">
        <f>'Reservations QR'!B6</f>
        <v>7</v>
      </c>
      <c r="E18" s="122">
        <f>'Reservations QR'!C6</f>
        <v>0</v>
      </c>
      <c r="F18" s="122">
        <f>'Reservations QR'!D6</f>
        <v>0</v>
      </c>
      <c r="G18" s="122">
        <f>'Reservations QR'!E6</f>
        <v>0</v>
      </c>
      <c r="H18" s="170">
        <f>'Reservations QR'!B4</f>
        <v>7</v>
      </c>
      <c r="I18" s="18"/>
      <c r="J18" s="18"/>
      <c r="K18" s="18"/>
      <c r="L18" s="18"/>
      <c r="M18" s="18"/>
      <c r="N18" s="18"/>
      <c r="O18" s="18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4" customHeight="1" x14ac:dyDescent="0.25">
      <c r="A19" s="117"/>
      <c r="B19" s="124">
        <v>9</v>
      </c>
      <c r="C19" s="121" t="str">
        <f>'Delivery Shipper'!B2</f>
        <v>Delivery Shipper</v>
      </c>
      <c r="D19" s="125">
        <f>'Delivery Shipper'!B6</f>
        <v>14</v>
      </c>
      <c r="E19" s="125">
        <f>'Delivery Shipper'!C6</f>
        <v>0</v>
      </c>
      <c r="F19" s="125">
        <f>'Delivery Shipper'!D6</f>
        <v>0</v>
      </c>
      <c r="G19" s="125">
        <f>'Delivery Shipper'!E6</f>
        <v>0</v>
      </c>
      <c r="H19" s="171">
        <f>'Delivery Shipper'!B4</f>
        <v>14</v>
      </c>
      <c r="I19" s="18"/>
      <c r="J19" s="18"/>
      <c r="K19" s="18"/>
      <c r="L19" s="18"/>
      <c r="M19" s="18"/>
      <c r="N19" s="18"/>
      <c r="O19" s="18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0.199999999999999" customHeight="1" x14ac:dyDescent="0.25">
      <c r="A20" s="117"/>
      <c r="B20" s="124">
        <v>10</v>
      </c>
      <c r="C20" s="126" t="str">
        <f>'Campaign Kitchen Ops'!B2</f>
        <v>Campaign Kitchen Ops</v>
      </c>
      <c r="D20" s="125">
        <f>'Campaign Kitchen Ops'!B6</f>
        <v>28</v>
      </c>
      <c r="E20" s="125">
        <f>'Campaign Kitchen Ops'!C6</f>
        <v>0</v>
      </c>
      <c r="F20" s="125">
        <f>'Campaign Kitchen Ops'!D6</f>
        <v>0</v>
      </c>
      <c r="G20" s="127">
        <f>'Campaign Kitchen Ops'!E6</f>
        <v>0</v>
      </c>
      <c r="H20" s="171">
        <f>'Campaign Kitchen Ops'!B4</f>
        <v>28</v>
      </c>
      <c r="I20" s="18"/>
      <c r="J20" s="18"/>
      <c r="K20" s="18"/>
      <c r="L20" s="18"/>
      <c r="M20" s="18"/>
      <c r="N20" s="18"/>
      <c r="O20" s="18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0.199999999999999" customHeight="1" x14ac:dyDescent="0.25">
      <c r="A21" s="117"/>
      <c r="B21" s="124">
        <v>11</v>
      </c>
      <c r="C21" s="126" t="str">
        <f>'Bulk Notifications'!B2</f>
        <v>Bulk Notifications</v>
      </c>
      <c r="D21" s="125">
        <f>'Bulk Notifications'!B6</f>
        <v>6</v>
      </c>
      <c r="E21" s="125">
        <f>'Bulk Notifications'!C6</f>
        <v>0</v>
      </c>
      <c r="F21" s="125">
        <f>'Bulk Notifications'!D6</f>
        <v>0</v>
      </c>
      <c r="G21" s="127">
        <f>'Bulk Notifications'!E6</f>
        <v>0</v>
      </c>
      <c r="H21" s="171">
        <f>'Bulk Notifications'!B4</f>
        <v>6</v>
      </c>
      <c r="I21" s="18"/>
      <c r="J21" s="18"/>
      <c r="K21" s="18"/>
      <c r="L21" s="18"/>
      <c r="M21" s="18"/>
      <c r="N21" s="18"/>
      <c r="O21" s="18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0.199999999999999" customHeight="1" x14ac:dyDescent="0.25">
      <c r="A22" s="117"/>
      <c r="B22" s="124"/>
      <c r="C22" s="126"/>
      <c r="D22" s="125"/>
      <c r="E22" s="125"/>
      <c r="F22" s="125"/>
      <c r="G22" s="127"/>
      <c r="H22" s="170"/>
      <c r="I22" s="18"/>
      <c r="J22" s="18"/>
      <c r="K22" s="18"/>
      <c r="L22" s="18"/>
      <c r="M22" s="18"/>
      <c r="N22" s="18"/>
      <c r="O22" s="18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9.8" customHeight="1" x14ac:dyDescent="0.25">
      <c r="A23" s="117"/>
      <c r="B23" s="128"/>
      <c r="C23" s="163" t="s">
        <v>637</v>
      </c>
      <c r="D23" s="164">
        <f>SUM(D11:D21)</f>
        <v>104</v>
      </c>
      <c r="E23" s="164">
        <f>SUM(E11:E21)</f>
        <v>0</v>
      </c>
      <c r="F23" s="164">
        <f t="shared" ref="F23:G23" si="0">SUM(F11:F21)</f>
        <v>0</v>
      </c>
      <c r="G23" s="129">
        <f t="shared" si="0"/>
        <v>0</v>
      </c>
      <c r="H23" s="130">
        <f>SUM(H11:H21)</f>
        <v>104</v>
      </c>
      <c r="I23" s="18"/>
      <c r="J23" s="18"/>
      <c r="K23" s="18"/>
      <c r="L23" s="18"/>
      <c r="M23" s="18"/>
      <c r="N23" s="18"/>
      <c r="O23" s="18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0.199999999999999" customHeight="1" x14ac:dyDescent="0.25">
      <c r="A24" s="18"/>
      <c r="B24" s="22"/>
      <c r="C24" s="165"/>
      <c r="D24" s="165"/>
      <c r="E24" s="165"/>
      <c r="F24" s="165"/>
      <c r="G24" s="131"/>
      <c r="H24" s="131"/>
      <c r="I24" s="18"/>
      <c r="J24" s="18"/>
      <c r="K24" s="18"/>
      <c r="L24" s="18"/>
      <c r="M24" s="18"/>
      <c r="N24" s="18"/>
      <c r="O24" s="18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0.199999999999999" customHeight="1" x14ac:dyDescent="0.25">
      <c r="A25" s="18"/>
      <c r="B25" s="18"/>
      <c r="C25" s="166" t="s">
        <v>634</v>
      </c>
      <c r="D25" s="165"/>
      <c r="E25" s="167">
        <v>100</v>
      </c>
      <c r="F25" s="168" t="s">
        <v>635</v>
      </c>
      <c r="G25" s="18"/>
      <c r="H25" s="14"/>
      <c r="I25" s="18"/>
      <c r="J25" s="18"/>
      <c r="K25" s="18"/>
      <c r="L25" s="18"/>
      <c r="M25" s="18"/>
      <c r="N25" s="18"/>
      <c r="O25" s="18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0.199999999999999" customHeight="1" x14ac:dyDescent="0.25">
      <c r="A26" s="18"/>
      <c r="B26" s="18"/>
      <c r="C26" s="169" t="s">
        <v>636</v>
      </c>
      <c r="D26" s="165"/>
      <c r="E26" s="167">
        <v>100</v>
      </c>
      <c r="F26" s="168" t="s">
        <v>635</v>
      </c>
      <c r="G26" s="18"/>
      <c r="H26" s="14"/>
      <c r="I26" s="18"/>
      <c r="J26" s="18"/>
      <c r="K26" s="18"/>
      <c r="L26" s="18"/>
      <c r="M26" s="18"/>
      <c r="N26" s="18"/>
      <c r="O26" s="18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0.199999999999999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0.199999999999999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0.199999999999999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0.199999999999999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0.199999999999999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0.199999999999999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0.199999999999999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0.199999999999999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0.199999999999999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0.199999999999999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0.199999999999999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0.199999999999999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0.199999999999999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0.199999999999999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0.199999999999999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0.199999999999999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0.199999999999999" customHeight="1" x14ac:dyDescent="0.2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0.199999999999999" customHeight="1" x14ac:dyDescent="0.2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0.199999999999999" customHeight="1" x14ac:dyDescent="0.2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0.199999999999999" customHeight="1" x14ac:dyDescent="0.2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0.199999999999999" customHeight="1" x14ac:dyDescent="0.2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0.199999999999999" customHeight="1" x14ac:dyDescent="0.2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0.199999999999999" customHeight="1" x14ac:dyDescent="0.2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0.199999999999999" customHeight="1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0.199999999999999" customHeight="1" x14ac:dyDescent="0.2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0.199999999999999" customHeight="1" x14ac:dyDescent="0.2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0.199999999999999" customHeight="1" x14ac:dyDescent="0.2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0.199999999999999" customHeight="1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0.199999999999999" customHeight="1" x14ac:dyDescent="0.2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0.199999999999999" customHeight="1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0.199999999999999" customHeight="1" x14ac:dyDescent="0.2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0.199999999999999" customHeight="1" x14ac:dyDescent="0.2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0.199999999999999" customHeight="1" x14ac:dyDescent="0.2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0.199999999999999" customHeight="1" x14ac:dyDescent="0.2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0.199999999999999" customHeight="1" x14ac:dyDescent="0.2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0.199999999999999" customHeight="1" x14ac:dyDescent="0.2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0.199999999999999" customHeight="1" x14ac:dyDescent="0.2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0.199999999999999" customHeight="1" x14ac:dyDescent="0.2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0.199999999999999" customHeight="1" x14ac:dyDescent="0.2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0.199999999999999" customHeight="1" x14ac:dyDescent="0.2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0.199999999999999" customHeight="1" x14ac:dyDescent="0.2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0.199999999999999" customHeight="1" x14ac:dyDescent="0.2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0.199999999999999" customHeight="1" x14ac:dyDescent="0.2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0.199999999999999" customHeight="1" x14ac:dyDescent="0.2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0.199999999999999" customHeight="1" x14ac:dyDescent="0.2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0.199999999999999" customHeight="1" x14ac:dyDescent="0.2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0.199999999999999" customHeight="1" x14ac:dyDescent="0.2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0.199999999999999" customHeight="1" x14ac:dyDescent="0.2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0.199999999999999" customHeight="1" x14ac:dyDescent="0.2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0.199999999999999" customHeight="1" x14ac:dyDescent="0.2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0.199999999999999" customHeight="1" x14ac:dyDescent="0.2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0.199999999999999" customHeight="1" x14ac:dyDescent="0.2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0.199999999999999" customHeight="1" x14ac:dyDescent="0.2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0.199999999999999" customHeight="1" x14ac:dyDescent="0.2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0.199999999999999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0.199999999999999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0.199999999999999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0.199999999999999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0.199999999999999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0.199999999999999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0.199999999999999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0.199999999999999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0.199999999999999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0.199999999999999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0.199999999999999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0.199999999999999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0.199999999999999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0.199999999999999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0.199999999999999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0.199999999999999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0.199999999999999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0.199999999999999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0.199999999999999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0.199999999999999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0.199999999999999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0.199999999999999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0.199999999999999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0.199999999999999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0.199999999999999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0.199999999999999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0.199999999999999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0.199999999999999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0.199999999999999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0.199999999999999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0.199999999999999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0.199999999999999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0.199999999999999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0.199999999999999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0.199999999999999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0.199999999999999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0.199999999999999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0.199999999999999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0.199999999999999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0.199999999999999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0.199999999999999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0.199999999999999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0.199999999999999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0.199999999999999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0.199999999999999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0.199999999999999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0.199999999999999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0.199999999999999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0.199999999999999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0.199999999999999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0.199999999999999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0.199999999999999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0.199999999999999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0.199999999999999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0.199999999999999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0.199999999999999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0.199999999999999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0.199999999999999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0.199999999999999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0.199999999999999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0.199999999999999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0.199999999999999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0.199999999999999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0.199999999999999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0.199999999999999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0.199999999999999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0.199999999999999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0.199999999999999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0.199999999999999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0.199999999999999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0.199999999999999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0.199999999999999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0.199999999999999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0.199999999999999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0.199999999999999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0.199999999999999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0.199999999999999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0.199999999999999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0.199999999999999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0.199999999999999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0.199999999999999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0.199999999999999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0.199999999999999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0.199999999999999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0.199999999999999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0.199999999999999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0.199999999999999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0.199999999999999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0.199999999999999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0.199999999999999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0.199999999999999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0.199999999999999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0.199999999999999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0.199999999999999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0.199999999999999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0.199999999999999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0.199999999999999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0.199999999999999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0.199999999999999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0.199999999999999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0.199999999999999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0.199999999999999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0.199999999999999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0.199999999999999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0.199999999999999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0.199999999999999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0.199999999999999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0.199999999999999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0.199999999999999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0.199999999999999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0.199999999999999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0.199999999999999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0.199999999999999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0.199999999999999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0.199999999999999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0.199999999999999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0.199999999999999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0.199999999999999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0.199999999999999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0.199999999999999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0.199999999999999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0.199999999999999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0.199999999999999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0.199999999999999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0.199999999999999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0.199999999999999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0.199999999999999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0.199999999999999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0.199999999999999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0.199999999999999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0.199999999999999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0.199999999999999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0.199999999999999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0.199999999999999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0.199999999999999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0.199999999999999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0.199999999999999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0.199999999999999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0.199999999999999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0.199999999999999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0.199999999999999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0.199999999999999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0.199999999999999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0.199999999999999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0.199999999999999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0.199999999999999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0.199999999999999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0.199999999999999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0.199999999999999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0.199999999999999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0.199999999999999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0.199999999999999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0.199999999999999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0.199999999999999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0.199999999999999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0.199999999999999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0.199999999999999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0.199999999999999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0.199999999999999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0.199999999999999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0.199999999999999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0.199999999999999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0.199999999999999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0.199999999999999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0.199999999999999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0.199999999999999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0.199999999999999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0.199999999999999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0.199999999999999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0.199999999999999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0.199999999999999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0.199999999999999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0.199999999999999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0.199999999999999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0.199999999999999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0.199999999999999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0.199999999999999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0.199999999999999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0.199999999999999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0.199999999999999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0.199999999999999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0.199999999999999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0.199999999999999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0.199999999999999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0.199999999999999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0.199999999999999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0.199999999999999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0.199999999999999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0.199999999999999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0.199999999999999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0.199999999999999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0.199999999999999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0.199999999999999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0.199999999999999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0.199999999999999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0.199999999999999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0.199999999999999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0.199999999999999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0.199999999999999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0.199999999999999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0.199999999999999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0.199999999999999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0.199999999999999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0.199999999999999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0.199999999999999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0.199999999999999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0.199999999999999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0.199999999999999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0.199999999999999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0.199999999999999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0.199999999999999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0.199999999999999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0.199999999999999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0.199999999999999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0.199999999999999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0.199999999999999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0.199999999999999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0.199999999999999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0.199999999999999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0.199999999999999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0.199999999999999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0.199999999999999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0.199999999999999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0.199999999999999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0.199999999999999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0.199999999999999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0.199999999999999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0.199999999999999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0.199999999999999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0.199999999999999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0.199999999999999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0.199999999999999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0.199999999999999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0.199999999999999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0.199999999999999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0.199999999999999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0.199999999999999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0.199999999999999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0.199999999999999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0.199999999999999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0.199999999999999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0.199999999999999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0.199999999999999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0.199999999999999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0.199999999999999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0.199999999999999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0.199999999999999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0.199999999999999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0.199999999999999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0.199999999999999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0.199999999999999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0.199999999999999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0.199999999999999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0.199999999999999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0.199999999999999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0.199999999999999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0.199999999999999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0.199999999999999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0.199999999999999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0.199999999999999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0.199999999999999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0.199999999999999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0.199999999999999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0.199999999999999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0.199999999999999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0.199999999999999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0.199999999999999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0.199999999999999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0.199999999999999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0.199999999999999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0.199999999999999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0.199999999999999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0.199999999999999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0.199999999999999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0.199999999999999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0.199999999999999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0.199999999999999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0.199999999999999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0.199999999999999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0.199999999999999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0.199999999999999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0.199999999999999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0.199999999999999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0.199999999999999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0.199999999999999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0.199999999999999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0.199999999999999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0.199999999999999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0.199999999999999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0.199999999999999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0.199999999999999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0.199999999999999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0.199999999999999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0.199999999999999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0.199999999999999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0.199999999999999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0.199999999999999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0.199999999999999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0.199999999999999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0.199999999999999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0.199999999999999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0.199999999999999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0.199999999999999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0.199999999999999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0.199999999999999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0.199999999999999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0.199999999999999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0.199999999999999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0.199999999999999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0.199999999999999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0.199999999999999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0.199999999999999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0.199999999999999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0.199999999999999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0.199999999999999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0.199999999999999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0.199999999999999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0.199999999999999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0.199999999999999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0.199999999999999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0.199999999999999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0.199999999999999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0.199999999999999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0.199999999999999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0.199999999999999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0.199999999999999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0.199999999999999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0.199999999999999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0.199999999999999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0.199999999999999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0.199999999999999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0.199999999999999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0.199999999999999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0.199999999999999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0.199999999999999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0.199999999999999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0.199999999999999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0.199999999999999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0.199999999999999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0.199999999999999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0.199999999999999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0.199999999999999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0.199999999999999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0.199999999999999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0.199999999999999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0.199999999999999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0.199999999999999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0.199999999999999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0.199999999999999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0.199999999999999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0.199999999999999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0.199999999999999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0.199999999999999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0.199999999999999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0.199999999999999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0.199999999999999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0.199999999999999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0.199999999999999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0.199999999999999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0.199999999999999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0.199999999999999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0.199999999999999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0.199999999999999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0.199999999999999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0.199999999999999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0.199999999999999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0.199999999999999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0.199999999999999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0.199999999999999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0.199999999999999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0.199999999999999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0.199999999999999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0.199999999999999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0.199999999999999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0.199999999999999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0.199999999999999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0.199999999999999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0.199999999999999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0.199999999999999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0.199999999999999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0.199999999999999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0.199999999999999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0.199999999999999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0.199999999999999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0.199999999999999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0.199999999999999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0.199999999999999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0.199999999999999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0.199999999999999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0.199999999999999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0.199999999999999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0.199999999999999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0.199999999999999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0.199999999999999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0.199999999999999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0.199999999999999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0.199999999999999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0.199999999999999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0.199999999999999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0.199999999999999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0.199999999999999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0.199999999999999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0.199999999999999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0.199999999999999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0.199999999999999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0.199999999999999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0.199999999999999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0.199999999999999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0.199999999999999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0.199999999999999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0.199999999999999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0.199999999999999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0.199999999999999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0.199999999999999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0.199999999999999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0.199999999999999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0.199999999999999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0.199999999999999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0.199999999999999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0.199999999999999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0.199999999999999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0.199999999999999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0.199999999999999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0.199999999999999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0.199999999999999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0.199999999999999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0.199999999999999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0.199999999999999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0.199999999999999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0.199999999999999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0.199999999999999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0.199999999999999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0.199999999999999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0.199999999999999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0.199999999999999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0.199999999999999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0.199999999999999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0.199999999999999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0.199999999999999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0.199999999999999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0.199999999999999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0.199999999999999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0.199999999999999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0.199999999999999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0.199999999999999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0.199999999999999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0.199999999999999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0.199999999999999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0.199999999999999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0.199999999999999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0.199999999999999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0.199999999999999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0.199999999999999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0.199999999999999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0.199999999999999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0.199999999999999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0.199999999999999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0.199999999999999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0.199999999999999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0.199999999999999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0.199999999999999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0.199999999999999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0.199999999999999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0.199999999999999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0.199999999999999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0.199999999999999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0.199999999999999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0.199999999999999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0.199999999999999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0.199999999999999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0.199999999999999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0.199999999999999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0.199999999999999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0.199999999999999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0.199999999999999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0.199999999999999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0.199999999999999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0.199999999999999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0.199999999999999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0.199999999999999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0.199999999999999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0.199999999999999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0.199999999999999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0.199999999999999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0.199999999999999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0.199999999999999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0.199999999999999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0.199999999999999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0.199999999999999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0.199999999999999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0.199999999999999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0.199999999999999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0.199999999999999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0.199999999999999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0.199999999999999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0.199999999999999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0.199999999999999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0.199999999999999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0.199999999999999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0.199999999999999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0.199999999999999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0.199999999999999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0.199999999999999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0.199999999999999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0.199999999999999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0.199999999999999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0.199999999999999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0.199999999999999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0.199999999999999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0.199999999999999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0.199999999999999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0.199999999999999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0.199999999999999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0.199999999999999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0.199999999999999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0.199999999999999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0.199999999999999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0.199999999999999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0.199999999999999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0.199999999999999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0.199999999999999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0.199999999999999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0.199999999999999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0.199999999999999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0.199999999999999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0.199999999999999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0.199999999999999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0.199999999999999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0.199999999999999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0.199999999999999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0.199999999999999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0.199999999999999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0.199999999999999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0.199999999999999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0.199999999999999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0.199999999999999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0.199999999999999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0.199999999999999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0.199999999999999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0.199999999999999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0.199999999999999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0.199999999999999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0.199999999999999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0.199999999999999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0.199999999999999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0.199999999999999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0.199999999999999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0.199999999999999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0.199999999999999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0.199999999999999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0.199999999999999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0.199999999999999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0.199999999999999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0.199999999999999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0.199999999999999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0.199999999999999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0.199999999999999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0.199999999999999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0.199999999999999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0.199999999999999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0.199999999999999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0.199999999999999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0.199999999999999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0.199999999999999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0.199999999999999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0.199999999999999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0.199999999999999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0.199999999999999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0.199999999999999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0.199999999999999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0.199999999999999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0.199999999999999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0.199999999999999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0.199999999999999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0.199999999999999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0.199999999999999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0.199999999999999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0.199999999999999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0.199999999999999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0.199999999999999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0.199999999999999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0.199999999999999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0.199999999999999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0.199999999999999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0.199999999999999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0.199999999999999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0.199999999999999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0.199999999999999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0.199999999999999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0.199999999999999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0.199999999999999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0.199999999999999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0.199999999999999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0.199999999999999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0.199999999999999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0.199999999999999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0.199999999999999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0.199999999999999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0.199999999999999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0.199999999999999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0.199999999999999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0.199999999999999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0.199999999999999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0.199999999999999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0.199999999999999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0.199999999999999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0.199999999999999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0.199999999999999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0.199999999999999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0.199999999999999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0.199999999999999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0.199999999999999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0.199999999999999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0.199999999999999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0.199999999999999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0.199999999999999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0.199999999999999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0.199999999999999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0.199999999999999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0.199999999999999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0.199999999999999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0.199999999999999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0.199999999999999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0.199999999999999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0.199999999999999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0.199999999999999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0.199999999999999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0.199999999999999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0.199999999999999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0.199999999999999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0.199999999999999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0.199999999999999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0.199999999999999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0.199999999999999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0.199999999999999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0.199999999999999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0.199999999999999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0.199999999999999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0.199999999999999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0.199999999999999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0.199999999999999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0.199999999999999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0.199999999999999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0.199999999999999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0.199999999999999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0.199999999999999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0.199999999999999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0.199999999999999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0.199999999999999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0.199999999999999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0.199999999999999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0.199999999999999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0.199999999999999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0.199999999999999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0.199999999999999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0.199999999999999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0.199999999999999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0.199999999999999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0.199999999999999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0.199999999999999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0.199999999999999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0.199999999999999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0.199999999999999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0.199999999999999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0.199999999999999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0.199999999999999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0.199999999999999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0.199999999999999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0.199999999999999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0.199999999999999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0.199999999999999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0.199999999999999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0.199999999999999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0.199999999999999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0.199999999999999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0.199999999999999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0.199999999999999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0.199999999999999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0.199999999999999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0.199999999999999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0.199999999999999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0.199999999999999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0.199999999999999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0.199999999999999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0.199999999999999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0.199999999999999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0.199999999999999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0.199999999999999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0.199999999999999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0.199999999999999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0.199999999999999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0.199999999999999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0.199999999999999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0.199999999999999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0.199999999999999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0.199999999999999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0.199999999999999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0.199999999999999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0.199999999999999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0.199999999999999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0.199999999999999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0.199999999999999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0.199999999999999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0.199999999999999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0.199999999999999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0.199999999999999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0.199999999999999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0.199999999999999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0.199999999999999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0.199999999999999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0.199999999999999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0.199999999999999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0.199999999999999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0.199999999999999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0.199999999999999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0.199999999999999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0.199999999999999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0.199999999999999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0.199999999999999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0.199999999999999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0.199999999999999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0.199999999999999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0.199999999999999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0.199999999999999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0.199999999999999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0.199999999999999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0.199999999999999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0.199999999999999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0.199999999999999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0.199999999999999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0.199999999999999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0.199999999999999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0.199999999999999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0.199999999999999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0.199999999999999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0.199999999999999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0.199999999999999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0.199999999999999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0.199999999999999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0.199999999999999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0.199999999999999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0.199999999999999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0.199999999999999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0.199999999999999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0.199999999999999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0.199999999999999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0.199999999999999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0.199999999999999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0.199999999999999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0.199999999999999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0.199999999999999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0.199999999999999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0.199999999999999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0.199999999999999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0.199999999999999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0.199999999999999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0.199999999999999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0.199999999999999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0.199999999999999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0.199999999999999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0.199999999999999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0.199999999999999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0.199999999999999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0.199999999999999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0.199999999999999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0.199999999999999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0.199999999999999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0.199999999999999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0.199999999999999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0.199999999999999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0.199999999999999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0.199999999999999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0.199999999999999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0.199999999999999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0.199999999999999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0.199999999999999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0.199999999999999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0.199999999999999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0.199999999999999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0.199999999999999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0.199999999999999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0.199999999999999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0.199999999999999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0.199999999999999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0.199999999999999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0.199999999999999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0.199999999999999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0.199999999999999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0.199999999999999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0.199999999999999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0.199999999999999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0.199999999999999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0.199999999999999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0.199999999999999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0.199999999999999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0.199999999999999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0.199999999999999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0.199999999999999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0.199999999999999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0.199999999999999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0.199999999999999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0.199999999999999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0.199999999999999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0.199999999999999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0.199999999999999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0.199999999999999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0.199999999999999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0.199999999999999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0.199999999999999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0.199999999999999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0.199999999999999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0.199999999999999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0.199999999999999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0.199999999999999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0.199999999999999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0.199999999999999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0.199999999999999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0.199999999999999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0.199999999999999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0.199999999999999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0.199999999999999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0.199999999999999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0.199999999999999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0.199999999999999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0.199999999999999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0.199999999999999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0.199999999999999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0.199999999999999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0.199999999999999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0.199999999999999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0.199999999999999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0.199999999999999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0.199999999999999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0.199999999999999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0.199999999999999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0.199999999999999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0.199999999999999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0.199999999999999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0.199999999999999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0.199999999999999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0.199999999999999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0.199999999999999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0.199999999999999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0.199999999999999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0.199999999999999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0.199999999999999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0.199999999999999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0.199999999999999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0.199999999999999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0.199999999999999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0.199999999999999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0.199999999999999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0.199999999999999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0.199999999999999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0.199999999999999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0.199999999999999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0.199999999999999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0.199999999999999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0.199999999999999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0.199999999999999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0.199999999999999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0.199999999999999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0.199999999999999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0.199999999999999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0.199999999999999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0.199999999999999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0.199999999999999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0.199999999999999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0.199999999999999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0.199999999999999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0.199999999999999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0.199999999999999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0.199999999999999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0.199999999999999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0.199999999999999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0.199999999999999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0.199999999999999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0.199999999999999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0.199999999999999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0.199999999999999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0.199999999999999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0.199999999999999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0.199999999999999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0.199999999999999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0.199999999999999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0.199999999999999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0.199999999999999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0.199999999999999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0.199999999999999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0.199999999999999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0.199999999999999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0.199999999999999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0.199999999999999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0.199999999999999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0.199999999999999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0.199999999999999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0.199999999999999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0.199999999999999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0.199999999999999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0.199999999999999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0.199999999999999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0.199999999999999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0.199999999999999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0.199999999999999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0.199999999999999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0.199999999999999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0.199999999999999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0.199999999999999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0.199999999999999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0.199999999999999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0.199999999999999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0.199999999999999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0.199999999999999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0.199999999999999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0.199999999999999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0.199999999999999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0.199999999999999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0.199999999999999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0.199999999999999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0.199999999999999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0.199999999999999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0.199999999999999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0.199999999999999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0.199999999999999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0.199999999999999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0.199999999999999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0.199999999999999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0.199999999999999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0.199999999999999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</sheetData>
  <mergeCells count="11">
    <mergeCell ref="C5:D5"/>
    <mergeCell ref="E5:F5"/>
    <mergeCell ref="G5:H5"/>
    <mergeCell ref="C6:H6"/>
    <mergeCell ref="B1:H1"/>
    <mergeCell ref="C3:D3"/>
    <mergeCell ref="E3:F3"/>
    <mergeCell ref="G3:H3"/>
    <mergeCell ref="C4:D4"/>
    <mergeCell ref="E4:F4"/>
    <mergeCell ref="G4:H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5"/>
  <sheetViews>
    <sheetView topLeftCell="A14" workbookViewId="0">
      <selection activeCell="A11" sqref="A11:XFD11"/>
    </sheetView>
  </sheetViews>
  <sheetFormatPr defaultColWidth="12.6640625" defaultRowHeight="13.2" x14ac:dyDescent="0.2"/>
  <cols>
    <col min="1" max="1" width="14" customWidth="1"/>
    <col min="2" max="2" width="34" customWidth="1"/>
    <col min="3" max="3" width="58" customWidth="1"/>
    <col min="4" max="4" width="48" customWidth="1"/>
    <col min="5" max="5" width="38" customWidth="1"/>
    <col min="6" max="6" width="9.33203125" customWidth="1"/>
    <col min="7" max="7" width="13" customWidth="1"/>
    <col min="8" max="8" width="8.77734375" customWidth="1"/>
    <col min="9" max="9" width="9.33203125" customWidth="1"/>
    <col min="10" max="10" width="13" customWidth="1"/>
    <col min="11" max="11" width="8.21875" customWidth="1"/>
    <col min="12" max="12" width="9.33203125" customWidth="1"/>
    <col min="13" max="13" width="13" customWidth="1"/>
    <col min="14" max="14" width="9.44140625" customWidth="1"/>
    <col min="15" max="15" width="28.6640625" customWidth="1"/>
    <col min="16" max="16" width="10.109375" customWidth="1"/>
    <col min="17" max="17" width="8.109375" customWidth="1"/>
    <col min="18" max="18" width="7.6640625" hidden="1" customWidth="1"/>
    <col min="19" max="26" width="9" customWidth="1"/>
  </cols>
  <sheetData>
    <row r="1" spans="1:26" ht="10.199999999999999" customHeight="1" x14ac:dyDescent="0.25">
      <c r="A1" s="53"/>
      <c r="B1" s="154"/>
      <c r="C1" s="154"/>
      <c r="D1" s="154"/>
      <c r="E1" s="154"/>
      <c r="F1" s="18"/>
      <c r="G1" s="18"/>
      <c r="H1" s="18"/>
      <c r="I1" s="18"/>
      <c r="J1" s="18"/>
      <c r="K1" s="18"/>
      <c r="L1" s="18"/>
      <c r="M1" s="18"/>
      <c r="N1" s="18"/>
      <c r="O1" s="18"/>
      <c r="P1" s="4"/>
      <c r="Q1" s="15"/>
      <c r="R1" s="4"/>
      <c r="S1" s="4"/>
      <c r="T1" s="4"/>
      <c r="U1" s="4"/>
      <c r="V1" s="4"/>
      <c r="W1" s="4"/>
      <c r="X1" s="4"/>
      <c r="Y1" s="4"/>
      <c r="Z1" s="4"/>
    </row>
    <row r="2" spans="1:26" ht="33.6" customHeight="1" x14ac:dyDescent="0.25">
      <c r="A2" s="155" t="s">
        <v>29</v>
      </c>
      <c r="B2" s="156" t="s">
        <v>358</v>
      </c>
      <c r="C2" s="157"/>
      <c r="D2" s="157"/>
      <c r="E2" s="157"/>
      <c r="F2" s="16"/>
      <c r="G2" s="17"/>
      <c r="H2" s="18"/>
      <c r="I2" s="16"/>
      <c r="J2" s="17"/>
      <c r="K2" s="18"/>
      <c r="L2" s="16"/>
      <c r="M2" s="17"/>
      <c r="N2" s="18"/>
      <c r="O2" s="18"/>
      <c r="P2" s="18"/>
      <c r="Q2" s="19"/>
      <c r="R2" s="20" t="s">
        <v>24</v>
      </c>
      <c r="S2" s="20"/>
      <c r="T2" s="20"/>
      <c r="U2" s="20"/>
      <c r="V2" s="20"/>
      <c r="W2" s="20"/>
      <c r="X2" s="20"/>
      <c r="Y2" s="20"/>
      <c r="Z2" s="20"/>
    </row>
    <row r="3" spans="1:26" ht="33.6" customHeight="1" x14ac:dyDescent="0.25">
      <c r="A3" s="155" t="s">
        <v>30</v>
      </c>
      <c r="B3" s="156" t="s">
        <v>359</v>
      </c>
      <c r="C3" s="157"/>
      <c r="D3" s="157"/>
      <c r="E3" s="157"/>
      <c r="F3" s="16"/>
      <c r="G3" s="17"/>
      <c r="H3" s="18"/>
      <c r="I3" s="16"/>
      <c r="J3" s="17"/>
      <c r="K3" s="18"/>
      <c r="L3" s="16"/>
      <c r="M3" s="17"/>
      <c r="N3" s="18"/>
      <c r="O3" s="18"/>
      <c r="P3" s="18"/>
      <c r="Q3" s="19"/>
      <c r="R3" s="20" t="s">
        <v>25</v>
      </c>
      <c r="S3" s="20"/>
      <c r="T3" s="20"/>
      <c r="U3" s="20"/>
      <c r="V3" s="20"/>
      <c r="W3" s="20"/>
      <c r="X3" s="20"/>
      <c r="Y3" s="20"/>
      <c r="Z3" s="20"/>
    </row>
    <row r="4" spans="1:26" ht="14.4" customHeight="1" x14ac:dyDescent="0.25">
      <c r="A4" s="52" t="s">
        <v>31</v>
      </c>
      <c r="B4" s="156">
        <v>14</v>
      </c>
      <c r="C4" s="157"/>
      <c r="D4" s="157"/>
      <c r="E4" s="157"/>
      <c r="F4" s="16"/>
      <c r="G4" s="17"/>
      <c r="H4" s="18"/>
      <c r="I4" s="16"/>
      <c r="J4" s="17"/>
      <c r="K4" s="18"/>
      <c r="L4" s="16"/>
      <c r="M4" s="17"/>
      <c r="N4" s="18"/>
      <c r="O4" s="18"/>
      <c r="P4" s="18"/>
      <c r="Q4" s="19"/>
      <c r="R4" s="20" t="s">
        <v>26</v>
      </c>
      <c r="S4" s="20"/>
      <c r="T4" s="20"/>
      <c r="U4" s="20"/>
      <c r="V4" s="20"/>
      <c r="W4" s="20"/>
      <c r="X4" s="20"/>
      <c r="Y4" s="20"/>
      <c r="Z4" s="20"/>
    </row>
    <row r="5" spans="1:26" ht="15.6" customHeight="1" x14ac:dyDescent="0.25">
      <c r="A5" s="51" t="s">
        <v>360</v>
      </c>
      <c r="B5" s="51" t="s">
        <v>24</v>
      </c>
      <c r="C5" s="51" t="s">
        <v>25</v>
      </c>
      <c r="D5" s="51" t="s">
        <v>26</v>
      </c>
      <c r="E5" s="51" t="s">
        <v>27</v>
      </c>
      <c r="F5" s="21"/>
      <c r="G5" s="21"/>
      <c r="H5" s="22"/>
      <c r="I5" s="21"/>
      <c r="J5" s="21"/>
      <c r="K5" s="22"/>
      <c r="L5" s="21"/>
      <c r="M5" s="21"/>
      <c r="N5" s="22"/>
      <c r="O5" s="22"/>
      <c r="P5" s="22"/>
      <c r="Q5" s="23"/>
      <c r="R5" s="20" t="s">
        <v>27</v>
      </c>
      <c r="S5" s="20"/>
      <c r="T5" s="20"/>
      <c r="U5" s="20"/>
      <c r="V5" s="20"/>
      <c r="W5" s="20"/>
      <c r="X5" s="20"/>
      <c r="Y5" s="20"/>
      <c r="Z5" s="20"/>
    </row>
    <row r="6" spans="1:26" ht="12" customHeight="1" x14ac:dyDescent="0.25">
      <c r="A6" s="51" t="s">
        <v>361</v>
      </c>
      <c r="B6" s="51">
        <f t="shared" ref="B6:E6" si="0">COUNTIF($F$12:$F$1005,B$5)</f>
        <v>14</v>
      </c>
      <c r="C6" s="51">
        <f t="shared" si="0"/>
        <v>0</v>
      </c>
      <c r="D6" s="51">
        <f t="shared" si="0"/>
        <v>0</v>
      </c>
      <c r="E6" s="51">
        <f t="shared" si="0"/>
        <v>0</v>
      </c>
      <c r="F6" s="24"/>
      <c r="G6" s="24"/>
      <c r="H6" s="22"/>
      <c r="I6" s="24"/>
      <c r="J6" s="24"/>
      <c r="K6" s="22"/>
      <c r="L6" s="24"/>
      <c r="M6" s="24"/>
      <c r="N6" s="22"/>
      <c r="O6" s="22"/>
      <c r="P6" s="22"/>
      <c r="Q6" s="23"/>
      <c r="R6" s="20"/>
      <c r="S6" s="20"/>
      <c r="T6" s="20"/>
      <c r="U6" s="20"/>
      <c r="V6" s="20"/>
      <c r="W6" s="20"/>
      <c r="X6" s="20"/>
      <c r="Y6" s="20"/>
      <c r="Z6" s="20"/>
    </row>
    <row r="7" spans="1:26" ht="12" customHeight="1" x14ac:dyDescent="0.25">
      <c r="A7" s="51" t="s">
        <v>362</v>
      </c>
      <c r="B7" s="51">
        <f t="shared" ref="B7:E7" si="1">COUNTIF($I$12:$I$1005,B$5)</f>
        <v>14</v>
      </c>
      <c r="C7" s="51">
        <f t="shared" si="1"/>
        <v>0</v>
      </c>
      <c r="D7" s="51">
        <f t="shared" si="1"/>
        <v>0</v>
      </c>
      <c r="E7" s="51">
        <f t="shared" si="1"/>
        <v>0</v>
      </c>
      <c r="F7" s="24"/>
      <c r="G7" s="24"/>
      <c r="H7" s="22"/>
      <c r="I7" s="24"/>
      <c r="J7" s="24"/>
      <c r="K7" s="22"/>
      <c r="L7" s="24"/>
      <c r="M7" s="24"/>
      <c r="N7" s="22"/>
      <c r="O7" s="22"/>
      <c r="P7" s="22"/>
      <c r="Q7" s="23"/>
      <c r="R7" s="20"/>
      <c r="S7" s="20"/>
      <c r="T7" s="20"/>
      <c r="U7" s="20"/>
      <c r="V7" s="20"/>
      <c r="W7" s="20"/>
      <c r="X7" s="20"/>
      <c r="Y7" s="20"/>
      <c r="Z7" s="20"/>
    </row>
    <row r="8" spans="1:26" ht="12" customHeight="1" x14ac:dyDescent="0.25">
      <c r="A8" s="51" t="s">
        <v>363</v>
      </c>
      <c r="B8" s="51">
        <f t="shared" ref="B8:E8" si="2">COUNTIF($L$12:$L$1005,B$5)</f>
        <v>14</v>
      </c>
      <c r="C8" s="51">
        <f t="shared" si="2"/>
        <v>0</v>
      </c>
      <c r="D8" s="51">
        <f t="shared" si="2"/>
        <v>0</v>
      </c>
      <c r="E8" s="51">
        <f t="shared" si="2"/>
        <v>0</v>
      </c>
      <c r="F8" s="24"/>
      <c r="G8" s="24"/>
      <c r="H8" s="22"/>
      <c r="I8" s="24"/>
      <c r="J8" s="24"/>
      <c r="K8" s="22"/>
      <c r="L8" s="24"/>
      <c r="M8" s="24"/>
      <c r="N8" s="22"/>
      <c r="O8" s="22"/>
      <c r="P8" s="22"/>
      <c r="Q8" s="23"/>
      <c r="R8" s="20"/>
      <c r="S8" s="20"/>
      <c r="T8" s="20"/>
      <c r="U8" s="20"/>
      <c r="V8" s="20"/>
      <c r="W8" s="20"/>
      <c r="X8" s="20"/>
      <c r="Y8" s="20"/>
      <c r="Z8" s="20"/>
    </row>
    <row r="9" spans="1:26" ht="12" customHeight="1" x14ac:dyDescent="0.25">
      <c r="A9" s="22"/>
      <c r="B9" s="22"/>
      <c r="C9" s="22"/>
      <c r="D9" s="22"/>
      <c r="E9" s="22"/>
      <c r="F9" s="14"/>
      <c r="G9" s="22"/>
      <c r="H9" s="22"/>
      <c r="I9" s="14"/>
      <c r="J9" s="22"/>
      <c r="K9" s="22"/>
      <c r="L9" s="14"/>
      <c r="M9" s="22"/>
      <c r="N9" s="22"/>
      <c r="O9" s="22"/>
      <c r="P9" s="22"/>
      <c r="Q9" s="23"/>
      <c r="R9" s="20"/>
      <c r="S9" s="20"/>
      <c r="T9" s="20"/>
      <c r="U9" s="20"/>
      <c r="V9" s="20"/>
      <c r="W9" s="20"/>
      <c r="X9" s="20"/>
      <c r="Y9" s="20"/>
      <c r="Z9" s="20"/>
    </row>
    <row r="10" spans="1:26" ht="20.399999999999999" customHeight="1" x14ac:dyDescent="0.25">
      <c r="A10" s="54" t="s">
        <v>364</v>
      </c>
      <c r="B10" s="54" t="s">
        <v>365</v>
      </c>
      <c r="C10" s="54" t="s">
        <v>366</v>
      </c>
      <c r="D10" s="54" t="s">
        <v>367</v>
      </c>
      <c r="E10" s="54" t="s">
        <v>368</v>
      </c>
      <c r="F10" s="54" t="s">
        <v>361</v>
      </c>
      <c r="G10" s="54" t="s">
        <v>369</v>
      </c>
      <c r="H10" s="54" t="s">
        <v>370</v>
      </c>
      <c r="I10" s="54" t="s">
        <v>362</v>
      </c>
      <c r="J10" s="54" t="s">
        <v>369</v>
      </c>
      <c r="K10" s="54" t="s">
        <v>370</v>
      </c>
      <c r="L10" s="54" t="s">
        <v>363</v>
      </c>
      <c r="M10" s="54" t="s">
        <v>369</v>
      </c>
      <c r="N10" s="54" t="s">
        <v>370</v>
      </c>
      <c r="O10" s="54" t="s">
        <v>371</v>
      </c>
      <c r="P10" s="20"/>
      <c r="Q10" s="25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30.6" customHeight="1" x14ac:dyDescent="0.25">
      <c r="A11" s="55" t="s">
        <v>372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20"/>
      <c r="Q11" s="26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27" customHeight="1" x14ac:dyDescent="0.2">
      <c r="A12" s="56" t="s">
        <v>373</v>
      </c>
      <c r="B12" s="56" t="s">
        <v>215</v>
      </c>
      <c r="C12" s="56" t="s">
        <v>374</v>
      </c>
      <c r="D12" s="57" t="s">
        <v>216</v>
      </c>
      <c r="E12" s="57" t="s">
        <v>217</v>
      </c>
      <c r="F12" s="56" t="s">
        <v>24</v>
      </c>
      <c r="G12" s="63">
        <v>46235</v>
      </c>
      <c r="H12" s="56" t="s">
        <v>375</v>
      </c>
      <c r="I12" s="56" t="s">
        <v>24</v>
      </c>
      <c r="J12" s="63">
        <v>46242</v>
      </c>
      <c r="K12" s="56" t="s">
        <v>375</v>
      </c>
      <c r="L12" s="56" t="s">
        <v>24</v>
      </c>
      <c r="M12" s="63">
        <v>46249</v>
      </c>
      <c r="N12" s="56" t="s">
        <v>375</v>
      </c>
      <c r="O12" s="56"/>
      <c r="P12" s="27"/>
      <c r="Q12" s="28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50.4" customHeight="1" x14ac:dyDescent="0.25">
      <c r="A13" s="60" t="s">
        <v>376</v>
      </c>
      <c r="B13" s="60"/>
      <c r="C13" s="60"/>
      <c r="D13" s="61"/>
      <c r="E13" s="61"/>
      <c r="F13" s="60"/>
      <c r="G13" s="65"/>
      <c r="H13" s="60"/>
      <c r="I13" s="60"/>
      <c r="J13" s="65"/>
      <c r="K13" s="60"/>
      <c r="L13" s="60"/>
      <c r="M13" s="65"/>
      <c r="N13" s="60"/>
      <c r="O13" s="60"/>
      <c r="P13" s="4"/>
      <c r="Q13" s="30"/>
      <c r="R13" s="4"/>
      <c r="S13" s="4"/>
      <c r="T13" s="4"/>
      <c r="U13" s="4"/>
      <c r="V13" s="4"/>
      <c r="W13" s="4"/>
      <c r="X13" s="4"/>
      <c r="Y13" s="4"/>
      <c r="Z13" s="4"/>
    </row>
    <row r="14" spans="1:26" ht="94.35" customHeight="1" x14ac:dyDescent="0.25">
      <c r="A14" s="58" t="s">
        <v>377</v>
      </c>
      <c r="B14" s="58" t="s">
        <v>218</v>
      </c>
      <c r="C14" s="58" t="s">
        <v>378</v>
      </c>
      <c r="D14" s="58" t="s">
        <v>219</v>
      </c>
      <c r="E14" s="58" t="s">
        <v>220</v>
      </c>
      <c r="F14" s="58" t="s">
        <v>24</v>
      </c>
      <c r="G14" s="64">
        <v>46235</v>
      </c>
      <c r="H14" s="58" t="s">
        <v>375</v>
      </c>
      <c r="I14" s="58" t="s">
        <v>24</v>
      </c>
      <c r="J14" s="64">
        <v>46242</v>
      </c>
      <c r="K14" s="58" t="s">
        <v>375</v>
      </c>
      <c r="L14" s="58" t="s">
        <v>24</v>
      </c>
      <c r="M14" s="64">
        <v>46249</v>
      </c>
      <c r="N14" s="58" t="s">
        <v>375</v>
      </c>
      <c r="O14" s="58"/>
      <c r="P14" s="20"/>
      <c r="Q14" s="26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94.35" customHeight="1" x14ac:dyDescent="0.25">
      <c r="A15" s="56" t="s">
        <v>379</v>
      </c>
      <c r="B15" s="56" t="s">
        <v>221</v>
      </c>
      <c r="C15" s="56" t="s">
        <v>380</v>
      </c>
      <c r="D15" s="57" t="s">
        <v>222</v>
      </c>
      <c r="E15" s="57" t="s">
        <v>223</v>
      </c>
      <c r="F15" s="56" t="s">
        <v>24</v>
      </c>
      <c r="G15" s="63">
        <v>46235</v>
      </c>
      <c r="H15" s="56" t="s">
        <v>375</v>
      </c>
      <c r="I15" s="56" t="s">
        <v>24</v>
      </c>
      <c r="J15" s="63">
        <v>46242</v>
      </c>
      <c r="K15" s="56" t="s">
        <v>375</v>
      </c>
      <c r="L15" s="56" t="s">
        <v>24</v>
      </c>
      <c r="M15" s="63">
        <v>46249</v>
      </c>
      <c r="N15" s="56" t="s">
        <v>375</v>
      </c>
      <c r="O15" s="56"/>
      <c r="P15" s="4"/>
      <c r="Q15" s="30"/>
      <c r="R15" s="4"/>
      <c r="S15" s="4"/>
      <c r="T15" s="4"/>
      <c r="U15" s="4"/>
      <c r="V15" s="4"/>
      <c r="W15" s="4"/>
      <c r="X15" s="4"/>
      <c r="Y15" s="4"/>
      <c r="Z15" s="4"/>
    </row>
    <row r="16" spans="1:26" ht="94.35" customHeight="1" x14ac:dyDescent="0.25">
      <c r="A16" s="56" t="s">
        <v>381</v>
      </c>
      <c r="B16" s="56" t="s">
        <v>224</v>
      </c>
      <c r="C16" s="56" t="s">
        <v>382</v>
      </c>
      <c r="D16" s="57" t="s">
        <v>225</v>
      </c>
      <c r="E16" s="57" t="s">
        <v>226</v>
      </c>
      <c r="F16" s="56" t="s">
        <v>24</v>
      </c>
      <c r="G16" s="63">
        <v>46235</v>
      </c>
      <c r="H16" s="56" t="s">
        <v>375</v>
      </c>
      <c r="I16" s="56" t="s">
        <v>24</v>
      </c>
      <c r="J16" s="63">
        <v>46242</v>
      </c>
      <c r="K16" s="56" t="s">
        <v>375</v>
      </c>
      <c r="L16" s="56" t="s">
        <v>24</v>
      </c>
      <c r="M16" s="63">
        <v>46249</v>
      </c>
      <c r="N16" s="56" t="s">
        <v>375</v>
      </c>
      <c r="O16" s="56"/>
      <c r="P16" s="4"/>
      <c r="Q16" s="30"/>
      <c r="R16" s="4"/>
      <c r="S16" s="4"/>
      <c r="T16" s="4"/>
      <c r="U16" s="4"/>
      <c r="V16" s="4"/>
      <c r="W16" s="4"/>
      <c r="X16" s="4"/>
      <c r="Y16" s="4"/>
      <c r="Z16" s="4"/>
    </row>
    <row r="17" spans="1:26" ht="94.35" customHeight="1" x14ac:dyDescent="0.25">
      <c r="A17" s="56" t="s">
        <v>383</v>
      </c>
      <c r="B17" s="56" t="s">
        <v>227</v>
      </c>
      <c r="C17" s="56" t="s">
        <v>384</v>
      </c>
      <c r="D17" s="57" t="s">
        <v>228</v>
      </c>
      <c r="E17" s="57" t="s">
        <v>223</v>
      </c>
      <c r="F17" s="56" t="s">
        <v>24</v>
      </c>
      <c r="G17" s="63">
        <v>46235</v>
      </c>
      <c r="H17" s="56" t="s">
        <v>375</v>
      </c>
      <c r="I17" s="56" t="s">
        <v>24</v>
      </c>
      <c r="J17" s="63">
        <v>46242</v>
      </c>
      <c r="K17" s="56" t="s">
        <v>375</v>
      </c>
      <c r="L17" s="56" t="s">
        <v>24</v>
      </c>
      <c r="M17" s="63">
        <v>46249</v>
      </c>
      <c r="N17" s="56" t="s">
        <v>375</v>
      </c>
      <c r="O17" s="56"/>
      <c r="P17" s="4"/>
      <c r="Q17" s="30"/>
      <c r="R17" s="4"/>
      <c r="S17" s="4"/>
      <c r="T17" s="4"/>
      <c r="U17" s="4"/>
      <c r="V17" s="4"/>
      <c r="W17" s="4"/>
      <c r="X17" s="4"/>
      <c r="Y17" s="4"/>
      <c r="Z17" s="4"/>
    </row>
    <row r="18" spans="1:26" ht="94.35" customHeight="1" x14ac:dyDescent="0.25">
      <c r="A18" s="56" t="s">
        <v>385</v>
      </c>
      <c r="B18" s="56" t="s">
        <v>229</v>
      </c>
      <c r="C18" s="56" t="s">
        <v>386</v>
      </c>
      <c r="D18" s="57" t="s">
        <v>230</v>
      </c>
      <c r="E18" s="57" t="s">
        <v>231</v>
      </c>
      <c r="F18" s="56" t="s">
        <v>24</v>
      </c>
      <c r="G18" s="63">
        <v>46235</v>
      </c>
      <c r="H18" s="56" t="s">
        <v>375</v>
      </c>
      <c r="I18" s="56" t="s">
        <v>24</v>
      </c>
      <c r="J18" s="63">
        <v>46242</v>
      </c>
      <c r="K18" s="56" t="s">
        <v>375</v>
      </c>
      <c r="L18" s="56" t="s">
        <v>24</v>
      </c>
      <c r="M18" s="63">
        <v>46249</v>
      </c>
      <c r="N18" s="56" t="s">
        <v>375</v>
      </c>
      <c r="O18" s="59"/>
      <c r="P18" s="32"/>
      <c r="Q18" s="15"/>
      <c r="R18" s="4"/>
      <c r="S18" s="4"/>
      <c r="T18" s="4"/>
      <c r="U18" s="4"/>
      <c r="V18" s="4"/>
      <c r="W18" s="4"/>
      <c r="X18" s="4"/>
      <c r="Y18" s="4"/>
      <c r="Z18" s="4"/>
    </row>
    <row r="19" spans="1:26" ht="94.35" customHeight="1" x14ac:dyDescent="0.25">
      <c r="A19" s="56" t="s">
        <v>387</v>
      </c>
      <c r="B19" s="56" t="s">
        <v>232</v>
      </c>
      <c r="C19" s="56" t="s">
        <v>388</v>
      </c>
      <c r="D19" s="57" t="s">
        <v>233</v>
      </c>
      <c r="E19" s="57" t="s">
        <v>234</v>
      </c>
      <c r="F19" s="56" t="s">
        <v>24</v>
      </c>
      <c r="G19" s="63">
        <v>46235</v>
      </c>
      <c r="H19" s="56" t="s">
        <v>375</v>
      </c>
      <c r="I19" s="56" t="s">
        <v>24</v>
      </c>
      <c r="J19" s="63">
        <v>46242</v>
      </c>
      <c r="K19" s="56" t="s">
        <v>375</v>
      </c>
      <c r="L19" s="56" t="s">
        <v>24</v>
      </c>
      <c r="M19" s="63">
        <v>46249</v>
      </c>
      <c r="N19" s="56" t="s">
        <v>375</v>
      </c>
      <c r="O19" s="56"/>
      <c r="P19" s="4"/>
      <c r="Q19" s="30"/>
      <c r="R19" s="4"/>
      <c r="S19" s="4"/>
      <c r="T19" s="4"/>
      <c r="U19" s="4"/>
      <c r="V19" s="4"/>
      <c r="W19" s="4"/>
      <c r="X19" s="4"/>
      <c r="Y19" s="4"/>
      <c r="Z19" s="4"/>
    </row>
    <row r="20" spans="1:26" ht="48" customHeight="1" x14ac:dyDescent="0.25">
      <c r="A20" s="60" t="s">
        <v>389</v>
      </c>
      <c r="B20" s="60"/>
      <c r="C20" s="60"/>
      <c r="D20" s="61"/>
      <c r="E20" s="61"/>
      <c r="F20" s="60"/>
      <c r="G20" s="65"/>
      <c r="H20" s="60"/>
      <c r="I20" s="60"/>
      <c r="J20" s="65"/>
      <c r="K20" s="60"/>
      <c r="L20" s="60"/>
      <c r="M20" s="65"/>
      <c r="N20" s="60"/>
      <c r="O20" s="60"/>
      <c r="P20" s="4"/>
      <c r="Q20" s="30"/>
      <c r="R20" s="4"/>
      <c r="S20" s="4"/>
      <c r="T20" s="4"/>
      <c r="U20" s="4"/>
      <c r="V20" s="4"/>
      <c r="W20" s="4"/>
      <c r="X20" s="4"/>
      <c r="Y20" s="4"/>
      <c r="Z20" s="4"/>
    </row>
    <row r="21" spans="1:26" ht="94.35" customHeight="1" x14ac:dyDescent="0.25">
      <c r="A21" s="56" t="s">
        <v>390</v>
      </c>
      <c r="B21" s="56" t="s">
        <v>235</v>
      </c>
      <c r="C21" s="56" t="s">
        <v>391</v>
      </c>
      <c r="D21" s="57" t="s">
        <v>236</v>
      </c>
      <c r="E21" s="57" t="s">
        <v>237</v>
      </c>
      <c r="F21" s="56" t="s">
        <v>24</v>
      </c>
      <c r="G21" s="63">
        <v>46235</v>
      </c>
      <c r="H21" s="56" t="s">
        <v>375</v>
      </c>
      <c r="I21" s="56" t="s">
        <v>24</v>
      </c>
      <c r="J21" s="63">
        <v>46242</v>
      </c>
      <c r="K21" s="56" t="s">
        <v>375</v>
      </c>
      <c r="L21" s="56" t="s">
        <v>24</v>
      </c>
      <c r="M21" s="63">
        <v>46249</v>
      </c>
      <c r="N21" s="56" t="s">
        <v>375</v>
      </c>
      <c r="O21" s="56"/>
      <c r="P21" s="4"/>
      <c r="Q21" s="30"/>
      <c r="R21" s="4"/>
      <c r="S21" s="4"/>
      <c r="T21" s="4"/>
      <c r="U21" s="4"/>
      <c r="V21" s="4"/>
      <c r="W21" s="4"/>
      <c r="X21" s="4"/>
      <c r="Y21" s="4"/>
      <c r="Z21" s="4"/>
    </row>
    <row r="22" spans="1:26" ht="94.35" customHeight="1" x14ac:dyDescent="0.25">
      <c r="A22" s="56" t="s">
        <v>392</v>
      </c>
      <c r="B22" s="56" t="s">
        <v>238</v>
      </c>
      <c r="C22" s="56" t="s">
        <v>393</v>
      </c>
      <c r="D22" s="57" t="s">
        <v>239</v>
      </c>
      <c r="E22" s="57" t="s">
        <v>240</v>
      </c>
      <c r="F22" s="56" t="s">
        <v>24</v>
      </c>
      <c r="G22" s="63">
        <v>46235</v>
      </c>
      <c r="H22" s="56" t="s">
        <v>375</v>
      </c>
      <c r="I22" s="56" t="s">
        <v>24</v>
      </c>
      <c r="J22" s="63">
        <v>46242</v>
      </c>
      <c r="K22" s="56" t="s">
        <v>375</v>
      </c>
      <c r="L22" s="56" t="s">
        <v>24</v>
      </c>
      <c r="M22" s="63">
        <v>46249</v>
      </c>
      <c r="N22" s="56" t="s">
        <v>375</v>
      </c>
      <c r="O22" s="56"/>
      <c r="P22" s="4"/>
      <c r="Q22" s="30"/>
      <c r="R22" s="4"/>
      <c r="S22" s="4"/>
      <c r="T22" s="4"/>
      <c r="U22" s="4"/>
      <c r="V22" s="4"/>
      <c r="W22" s="4"/>
      <c r="X22" s="4"/>
      <c r="Y22" s="4"/>
      <c r="Z22" s="4"/>
    </row>
    <row r="23" spans="1:26" ht="94.35" customHeight="1" x14ac:dyDescent="0.25">
      <c r="A23" s="56" t="s">
        <v>394</v>
      </c>
      <c r="B23" s="56" t="s">
        <v>241</v>
      </c>
      <c r="C23" s="56" t="s">
        <v>395</v>
      </c>
      <c r="D23" s="57" t="s">
        <v>242</v>
      </c>
      <c r="E23" s="57" t="s">
        <v>243</v>
      </c>
      <c r="F23" s="56" t="s">
        <v>24</v>
      </c>
      <c r="G23" s="63">
        <v>46235</v>
      </c>
      <c r="H23" s="56" t="s">
        <v>375</v>
      </c>
      <c r="I23" s="56" t="s">
        <v>24</v>
      </c>
      <c r="J23" s="63">
        <v>46242</v>
      </c>
      <c r="K23" s="56" t="s">
        <v>375</v>
      </c>
      <c r="L23" s="56" t="s">
        <v>24</v>
      </c>
      <c r="M23" s="63">
        <v>46249</v>
      </c>
      <c r="N23" s="56" t="s">
        <v>375</v>
      </c>
      <c r="O23" s="56"/>
      <c r="P23" s="4"/>
      <c r="Q23" s="30"/>
      <c r="R23" s="4"/>
      <c r="S23" s="4"/>
      <c r="T23" s="4"/>
      <c r="U23" s="4"/>
      <c r="V23" s="4"/>
      <c r="W23" s="4"/>
      <c r="X23" s="4"/>
      <c r="Y23" s="4"/>
      <c r="Z23" s="4"/>
    </row>
    <row r="24" spans="1:26" ht="94.35" customHeight="1" x14ac:dyDescent="0.25">
      <c r="A24" s="56" t="s">
        <v>396</v>
      </c>
      <c r="B24" s="56" t="s">
        <v>244</v>
      </c>
      <c r="C24" s="56" t="s">
        <v>397</v>
      </c>
      <c r="D24" s="57" t="s">
        <v>245</v>
      </c>
      <c r="E24" s="57" t="s">
        <v>246</v>
      </c>
      <c r="F24" s="56" t="s">
        <v>24</v>
      </c>
      <c r="G24" s="63">
        <v>46235</v>
      </c>
      <c r="H24" s="56" t="s">
        <v>375</v>
      </c>
      <c r="I24" s="56" t="s">
        <v>24</v>
      </c>
      <c r="J24" s="63">
        <v>46242</v>
      </c>
      <c r="K24" s="56" t="s">
        <v>375</v>
      </c>
      <c r="L24" s="56" t="s">
        <v>24</v>
      </c>
      <c r="M24" s="63">
        <v>46249</v>
      </c>
      <c r="N24" s="56" t="s">
        <v>375</v>
      </c>
      <c r="O24" s="56"/>
      <c r="P24" s="4"/>
      <c r="Q24" s="30"/>
      <c r="R24" s="4"/>
      <c r="S24" s="4"/>
      <c r="T24" s="4"/>
      <c r="U24" s="4"/>
      <c r="V24" s="4"/>
      <c r="W24" s="4"/>
      <c r="X24" s="4"/>
      <c r="Y24" s="4"/>
      <c r="Z24" s="4"/>
    </row>
    <row r="25" spans="1:26" ht="94.35" customHeight="1" x14ac:dyDescent="0.25">
      <c r="A25" s="58" t="s">
        <v>398</v>
      </c>
      <c r="B25" s="58" t="s">
        <v>247</v>
      </c>
      <c r="C25" s="58" t="s">
        <v>399</v>
      </c>
      <c r="D25" s="58" t="s">
        <v>248</v>
      </c>
      <c r="E25" s="58" t="s">
        <v>246</v>
      </c>
      <c r="F25" s="58" t="s">
        <v>24</v>
      </c>
      <c r="G25" s="64">
        <v>46235</v>
      </c>
      <c r="H25" s="58" t="s">
        <v>375</v>
      </c>
      <c r="I25" s="58" t="s">
        <v>24</v>
      </c>
      <c r="J25" s="64">
        <v>46242</v>
      </c>
      <c r="K25" s="58" t="s">
        <v>375</v>
      </c>
      <c r="L25" s="58" t="s">
        <v>24</v>
      </c>
      <c r="M25" s="64">
        <v>46249</v>
      </c>
      <c r="N25" s="58" t="s">
        <v>375</v>
      </c>
      <c r="O25" s="58"/>
      <c r="P25" s="20"/>
      <c r="Q25" s="26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30.6" customHeight="1" x14ac:dyDescent="0.25">
      <c r="A26" s="60" t="s">
        <v>400</v>
      </c>
      <c r="B26" s="60"/>
      <c r="C26" s="60"/>
      <c r="D26" s="61"/>
      <c r="E26" s="61"/>
      <c r="F26" s="60"/>
      <c r="G26" s="65"/>
      <c r="H26" s="60"/>
      <c r="I26" s="60"/>
      <c r="J26" s="65"/>
      <c r="K26" s="60"/>
      <c r="L26" s="60"/>
      <c r="M26" s="65"/>
      <c r="N26" s="60"/>
      <c r="O26" s="60"/>
      <c r="P26" s="4"/>
      <c r="Q26" s="30"/>
      <c r="R26" s="4"/>
      <c r="S26" s="4"/>
      <c r="T26" s="4"/>
      <c r="U26" s="4"/>
      <c r="V26" s="4"/>
      <c r="W26" s="4"/>
      <c r="X26" s="4"/>
      <c r="Y26" s="4"/>
      <c r="Z26" s="4"/>
    </row>
    <row r="27" spans="1:26" ht="94.35" customHeight="1" x14ac:dyDescent="0.25">
      <c r="A27" s="58" t="s">
        <v>401</v>
      </c>
      <c r="B27" s="58" t="s">
        <v>249</v>
      </c>
      <c r="C27" s="58" t="s">
        <v>402</v>
      </c>
      <c r="D27" s="58" t="s">
        <v>250</v>
      </c>
      <c r="E27" s="58" t="s">
        <v>251</v>
      </c>
      <c r="F27" s="58" t="s">
        <v>24</v>
      </c>
      <c r="G27" s="64">
        <v>46235</v>
      </c>
      <c r="H27" s="58" t="s">
        <v>375</v>
      </c>
      <c r="I27" s="58" t="s">
        <v>24</v>
      </c>
      <c r="J27" s="64">
        <v>46242</v>
      </c>
      <c r="K27" s="58" t="s">
        <v>375</v>
      </c>
      <c r="L27" s="58" t="s">
        <v>24</v>
      </c>
      <c r="M27" s="64">
        <v>46249</v>
      </c>
      <c r="N27" s="58" t="s">
        <v>375</v>
      </c>
      <c r="O27" s="58"/>
      <c r="P27" s="20"/>
      <c r="Q27" s="26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94.35" customHeight="1" x14ac:dyDescent="0.25">
      <c r="A28" s="56" t="s">
        <v>403</v>
      </c>
      <c r="B28" s="56" t="s">
        <v>252</v>
      </c>
      <c r="C28" s="56" t="s">
        <v>404</v>
      </c>
      <c r="D28" s="57" t="s">
        <v>253</v>
      </c>
      <c r="E28" s="57" t="s">
        <v>254</v>
      </c>
      <c r="F28" s="56" t="s">
        <v>24</v>
      </c>
      <c r="G28" s="63">
        <v>46235</v>
      </c>
      <c r="H28" s="56" t="s">
        <v>375</v>
      </c>
      <c r="I28" s="56" t="s">
        <v>24</v>
      </c>
      <c r="J28" s="63">
        <v>46242</v>
      </c>
      <c r="K28" s="56" t="s">
        <v>375</v>
      </c>
      <c r="L28" s="56" t="s">
        <v>24</v>
      </c>
      <c r="M28" s="63">
        <v>46249</v>
      </c>
      <c r="N28" s="56" t="s">
        <v>375</v>
      </c>
      <c r="O28" s="56"/>
      <c r="P28" s="4"/>
      <c r="Q28" s="30"/>
      <c r="R28" s="4"/>
      <c r="S28" s="4"/>
      <c r="T28" s="4"/>
      <c r="U28" s="4"/>
      <c r="V28" s="4"/>
      <c r="W28" s="4"/>
      <c r="X28" s="4"/>
      <c r="Y28" s="4"/>
      <c r="Z28" s="4"/>
    </row>
    <row r="29" spans="1:26" ht="94.3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4"/>
      <c r="Q29" s="15"/>
      <c r="R29" s="4"/>
      <c r="S29" s="4"/>
      <c r="T29" s="4"/>
      <c r="U29" s="4"/>
      <c r="V29" s="4"/>
      <c r="W29" s="4"/>
      <c r="X29" s="4"/>
      <c r="Y29" s="4"/>
      <c r="Z29" s="4"/>
    </row>
    <row r="30" spans="1:26" ht="94.35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4"/>
      <c r="Q30" s="15"/>
      <c r="R30" s="4"/>
      <c r="S30" s="4"/>
      <c r="T30" s="4"/>
      <c r="U30" s="4"/>
      <c r="V30" s="4"/>
      <c r="W30" s="4"/>
      <c r="X30" s="4"/>
      <c r="Y30" s="4"/>
      <c r="Z30" s="4"/>
    </row>
    <row r="31" spans="1:26" ht="94.3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4"/>
      <c r="Q31" s="15"/>
      <c r="R31" s="4"/>
      <c r="S31" s="4"/>
      <c r="T31" s="4"/>
      <c r="U31" s="4"/>
      <c r="V31" s="4"/>
      <c r="W31" s="4"/>
      <c r="X31" s="4"/>
      <c r="Y31" s="4"/>
      <c r="Z31" s="4"/>
    </row>
    <row r="32" spans="1:26" ht="94.3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4"/>
      <c r="Q32" s="15"/>
      <c r="R32" s="4"/>
      <c r="S32" s="4"/>
      <c r="T32" s="4"/>
      <c r="U32" s="4"/>
      <c r="V32" s="4"/>
      <c r="W32" s="4"/>
      <c r="X32" s="4"/>
      <c r="Y32" s="4"/>
      <c r="Z32" s="4"/>
    </row>
    <row r="33" spans="1:26" ht="94.3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4"/>
      <c r="Q33" s="15"/>
      <c r="R33" s="4"/>
      <c r="S33" s="4"/>
      <c r="T33" s="4"/>
      <c r="U33" s="4"/>
      <c r="V33" s="4"/>
      <c r="W33" s="4"/>
      <c r="X33" s="4"/>
      <c r="Y33" s="4"/>
      <c r="Z33" s="4"/>
    </row>
    <row r="34" spans="1:26" ht="94.3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4"/>
      <c r="Q34" s="15"/>
      <c r="R34" s="4"/>
      <c r="S34" s="4"/>
      <c r="T34" s="4"/>
      <c r="U34" s="4"/>
      <c r="V34" s="4"/>
      <c r="W34" s="4"/>
      <c r="X34" s="4"/>
      <c r="Y34" s="4"/>
      <c r="Z34" s="4"/>
    </row>
    <row r="35" spans="1:26" ht="94.3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4"/>
      <c r="Q35" s="15"/>
      <c r="R35" s="4"/>
      <c r="S35" s="4"/>
      <c r="T35" s="4"/>
      <c r="U35" s="4"/>
      <c r="V35" s="4"/>
      <c r="W35" s="4"/>
      <c r="X35" s="4"/>
      <c r="Y35" s="4"/>
      <c r="Z35" s="4"/>
    </row>
    <row r="36" spans="1:26" ht="94.35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4"/>
      <c r="Q36" s="15"/>
      <c r="R36" s="4"/>
      <c r="S36" s="4"/>
      <c r="T36" s="4"/>
      <c r="U36" s="4"/>
      <c r="V36" s="4"/>
      <c r="W36" s="4"/>
      <c r="X36" s="4"/>
      <c r="Y36" s="4"/>
      <c r="Z36" s="4"/>
    </row>
    <row r="37" spans="1:26" ht="94.35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4"/>
      <c r="Q37" s="15"/>
      <c r="R37" s="4"/>
      <c r="S37" s="4"/>
      <c r="T37" s="4"/>
      <c r="U37" s="4"/>
      <c r="V37" s="4"/>
      <c r="W37" s="4"/>
      <c r="X37" s="4"/>
      <c r="Y37" s="4"/>
      <c r="Z37" s="4"/>
    </row>
    <row r="38" spans="1:26" ht="94.35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4"/>
      <c r="Q38" s="15"/>
      <c r="R38" s="4"/>
      <c r="S38" s="4"/>
      <c r="T38" s="4"/>
      <c r="U38" s="4"/>
      <c r="V38" s="4"/>
      <c r="W38" s="4"/>
      <c r="X38" s="4"/>
      <c r="Y38" s="4"/>
      <c r="Z38" s="4"/>
    </row>
    <row r="39" spans="1:26" ht="94.3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4"/>
      <c r="Q39" s="15"/>
      <c r="R39" s="4"/>
      <c r="S39" s="4"/>
      <c r="T39" s="4"/>
      <c r="U39" s="4"/>
      <c r="V39" s="4"/>
      <c r="W39" s="4"/>
      <c r="X39" s="4"/>
      <c r="Y39" s="4"/>
      <c r="Z39" s="4"/>
    </row>
    <row r="40" spans="1:26" ht="94.3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4"/>
      <c r="Q40" s="15"/>
      <c r="R40" s="4"/>
      <c r="S40" s="4"/>
      <c r="T40" s="4"/>
      <c r="U40" s="4"/>
      <c r="V40" s="4"/>
      <c r="W40" s="4"/>
      <c r="X40" s="4"/>
      <c r="Y40" s="4"/>
      <c r="Z40" s="4"/>
    </row>
    <row r="41" spans="1:26" ht="94.3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4"/>
      <c r="Q41" s="15"/>
      <c r="R41" s="4"/>
      <c r="S41" s="4"/>
      <c r="T41" s="4"/>
      <c r="U41" s="4"/>
      <c r="V41" s="4"/>
      <c r="W41" s="4"/>
      <c r="X41" s="4"/>
      <c r="Y41" s="4"/>
      <c r="Z41" s="4"/>
    </row>
    <row r="42" spans="1:26" ht="94.3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4"/>
      <c r="Q42" s="15"/>
      <c r="R42" s="4"/>
      <c r="S42" s="4"/>
      <c r="T42" s="4"/>
      <c r="U42" s="4"/>
      <c r="V42" s="4"/>
      <c r="W42" s="4"/>
      <c r="X42" s="4"/>
      <c r="Y42" s="4"/>
      <c r="Z42" s="4"/>
    </row>
    <row r="43" spans="1:26" ht="94.35" customHeight="1" x14ac:dyDescent="0.2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4"/>
      <c r="Q43" s="15"/>
      <c r="R43" s="4"/>
      <c r="S43" s="4"/>
      <c r="T43" s="4"/>
      <c r="U43" s="4"/>
      <c r="V43" s="4"/>
      <c r="W43" s="4"/>
      <c r="X43" s="4"/>
      <c r="Y43" s="4"/>
      <c r="Z43" s="4"/>
    </row>
    <row r="44" spans="1:26" ht="94.35" customHeight="1" x14ac:dyDescent="0.2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4"/>
      <c r="Q44" s="15"/>
      <c r="R44" s="4"/>
      <c r="S44" s="4"/>
      <c r="T44" s="4"/>
      <c r="U44" s="4"/>
      <c r="V44" s="4"/>
      <c r="W44" s="4"/>
      <c r="X44" s="4"/>
      <c r="Y44" s="4"/>
      <c r="Z44" s="4"/>
    </row>
    <row r="45" spans="1:26" ht="94.35" customHeight="1" x14ac:dyDescent="0.2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4"/>
      <c r="Q45" s="15"/>
      <c r="R45" s="4"/>
      <c r="S45" s="4"/>
      <c r="T45" s="4"/>
      <c r="U45" s="4"/>
      <c r="V45" s="4"/>
      <c r="W45" s="4"/>
      <c r="X45" s="4"/>
      <c r="Y45" s="4"/>
      <c r="Z45" s="4"/>
    </row>
    <row r="46" spans="1:26" ht="94.35" customHeight="1" x14ac:dyDescent="0.2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4"/>
      <c r="Q46" s="15"/>
      <c r="R46" s="4"/>
      <c r="S46" s="4"/>
      <c r="T46" s="4"/>
      <c r="U46" s="4"/>
      <c r="V46" s="4"/>
      <c r="W46" s="4"/>
      <c r="X46" s="4"/>
      <c r="Y46" s="4"/>
      <c r="Z46" s="4"/>
    </row>
    <row r="47" spans="1:26" ht="94.35" customHeight="1" x14ac:dyDescent="0.2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4"/>
      <c r="Q47" s="15"/>
      <c r="R47" s="4"/>
      <c r="S47" s="4"/>
      <c r="T47" s="4"/>
      <c r="U47" s="4"/>
      <c r="V47" s="4"/>
      <c r="W47" s="4"/>
      <c r="X47" s="4"/>
      <c r="Y47" s="4"/>
      <c r="Z47" s="4"/>
    </row>
    <row r="48" spans="1:26" ht="94.35" customHeight="1" x14ac:dyDescent="0.2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4"/>
      <c r="Q48" s="15"/>
      <c r="R48" s="4"/>
      <c r="S48" s="4"/>
      <c r="T48" s="4"/>
      <c r="U48" s="4"/>
      <c r="V48" s="4"/>
      <c r="W48" s="4"/>
      <c r="X48" s="4"/>
      <c r="Y48" s="4"/>
      <c r="Z48" s="4"/>
    </row>
    <row r="49" spans="1:26" ht="94.35" customHeight="1" x14ac:dyDescent="0.2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4"/>
      <c r="Q49" s="15"/>
      <c r="R49" s="4"/>
      <c r="S49" s="4"/>
      <c r="T49" s="4"/>
      <c r="U49" s="4"/>
      <c r="V49" s="4"/>
      <c r="W49" s="4"/>
      <c r="X49" s="4"/>
      <c r="Y49" s="4"/>
      <c r="Z49" s="4"/>
    </row>
    <row r="50" spans="1:26" ht="94.35" customHeight="1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4"/>
      <c r="Q50" s="15"/>
      <c r="R50" s="4"/>
      <c r="S50" s="4"/>
      <c r="T50" s="4"/>
      <c r="U50" s="4"/>
      <c r="V50" s="4"/>
      <c r="W50" s="4"/>
      <c r="X50" s="4"/>
      <c r="Y50" s="4"/>
      <c r="Z50" s="4"/>
    </row>
    <row r="51" spans="1:26" ht="94.35" customHeight="1" x14ac:dyDescent="0.2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4"/>
      <c r="Q51" s="15"/>
      <c r="R51" s="4"/>
      <c r="S51" s="4"/>
      <c r="T51" s="4"/>
      <c r="U51" s="4"/>
      <c r="V51" s="4"/>
      <c r="W51" s="4"/>
      <c r="X51" s="4"/>
      <c r="Y51" s="4"/>
      <c r="Z51" s="4"/>
    </row>
    <row r="52" spans="1:26" ht="94.35" customHeight="1" x14ac:dyDescent="0.2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4"/>
      <c r="Q52" s="15"/>
      <c r="R52" s="4"/>
      <c r="S52" s="4"/>
      <c r="T52" s="4"/>
      <c r="U52" s="4"/>
      <c r="V52" s="4"/>
      <c r="W52" s="4"/>
      <c r="X52" s="4"/>
      <c r="Y52" s="4"/>
      <c r="Z52" s="4"/>
    </row>
    <row r="53" spans="1:26" ht="94.35" customHeight="1" x14ac:dyDescent="0.2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4"/>
      <c r="Q53" s="15"/>
      <c r="R53" s="4"/>
      <c r="S53" s="4"/>
      <c r="T53" s="4"/>
      <c r="U53" s="4"/>
      <c r="V53" s="4"/>
      <c r="W53" s="4"/>
      <c r="X53" s="4"/>
      <c r="Y53" s="4"/>
      <c r="Z53" s="4"/>
    </row>
    <row r="54" spans="1:26" ht="94.35" customHeight="1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4"/>
      <c r="Q54" s="15"/>
      <c r="R54" s="4"/>
      <c r="S54" s="4"/>
      <c r="T54" s="4"/>
      <c r="U54" s="4"/>
      <c r="V54" s="4"/>
      <c r="W54" s="4"/>
      <c r="X54" s="4"/>
      <c r="Y54" s="4"/>
      <c r="Z54" s="4"/>
    </row>
    <row r="55" spans="1:26" ht="94.35" customHeight="1" x14ac:dyDescent="0.2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4"/>
      <c r="Q55" s="15"/>
      <c r="R55" s="4"/>
      <c r="S55" s="4"/>
      <c r="T55" s="4"/>
      <c r="U55" s="4"/>
      <c r="V55" s="4"/>
      <c r="W55" s="4"/>
      <c r="X55" s="4"/>
      <c r="Y55" s="4"/>
      <c r="Z55" s="4"/>
    </row>
    <row r="56" spans="1:26" ht="94.35" customHeight="1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4"/>
      <c r="Q56" s="15"/>
      <c r="R56" s="4"/>
      <c r="S56" s="4"/>
      <c r="T56" s="4"/>
      <c r="U56" s="4"/>
      <c r="V56" s="4"/>
      <c r="W56" s="4"/>
      <c r="X56" s="4"/>
      <c r="Y56" s="4"/>
      <c r="Z56" s="4"/>
    </row>
    <row r="57" spans="1:26" ht="94.35" customHeight="1" x14ac:dyDescent="0.2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4"/>
      <c r="Q57" s="15"/>
      <c r="R57" s="4"/>
      <c r="S57" s="4"/>
      <c r="T57" s="4"/>
      <c r="U57" s="4"/>
      <c r="V57" s="4"/>
      <c r="W57" s="4"/>
      <c r="X57" s="4"/>
      <c r="Y57" s="4"/>
      <c r="Z57" s="4"/>
    </row>
    <row r="58" spans="1:26" ht="94.35" customHeight="1" x14ac:dyDescent="0.2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4"/>
      <c r="Q58" s="15"/>
      <c r="R58" s="4"/>
      <c r="S58" s="4"/>
      <c r="T58" s="4"/>
      <c r="U58" s="4"/>
      <c r="V58" s="4"/>
      <c r="W58" s="4"/>
      <c r="X58" s="4"/>
      <c r="Y58" s="4"/>
      <c r="Z58" s="4"/>
    </row>
    <row r="59" spans="1:26" ht="94.35" customHeight="1" x14ac:dyDescent="0.2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4"/>
      <c r="Q59" s="15"/>
      <c r="R59" s="4"/>
      <c r="S59" s="4"/>
      <c r="T59" s="4"/>
      <c r="U59" s="4"/>
      <c r="V59" s="4"/>
      <c r="W59" s="4"/>
      <c r="X59" s="4"/>
      <c r="Y59" s="4"/>
      <c r="Z59" s="4"/>
    </row>
    <row r="60" spans="1:26" ht="94.35" customHeight="1" x14ac:dyDescent="0.2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4"/>
      <c r="Q60" s="15"/>
      <c r="R60" s="4"/>
      <c r="S60" s="4"/>
      <c r="T60" s="4"/>
      <c r="U60" s="4"/>
      <c r="V60" s="4"/>
      <c r="W60" s="4"/>
      <c r="X60" s="4"/>
      <c r="Y60" s="4"/>
      <c r="Z60" s="4"/>
    </row>
    <row r="61" spans="1:26" ht="94.35" customHeight="1" x14ac:dyDescent="0.2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4"/>
      <c r="Q61" s="15"/>
      <c r="R61" s="4"/>
      <c r="S61" s="4"/>
      <c r="T61" s="4"/>
      <c r="U61" s="4"/>
      <c r="V61" s="4"/>
      <c r="W61" s="4"/>
      <c r="X61" s="4"/>
      <c r="Y61" s="4"/>
      <c r="Z61" s="4"/>
    </row>
    <row r="62" spans="1:26" ht="94.35" customHeight="1" x14ac:dyDescent="0.2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4"/>
      <c r="Q62" s="15"/>
      <c r="R62" s="4"/>
      <c r="S62" s="4"/>
      <c r="T62" s="4"/>
      <c r="U62" s="4"/>
      <c r="V62" s="4"/>
      <c r="W62" s="4"/>
      <c r="X62" s="4"/>
      <c r="Y62" s="4"/>
      <c r="Z62" s="4"/>
    </row>
    <row r="63" spans="1:26" ht="94.35" customHeight="1" x14ac:dyDescent="0.2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4"/>
      <c r="Q63" s="15"/>
      <c r="R63" s="4"/>
      <c r="S63" s="4"/>
      <c r="T63" s="4"/>
      <c r="U63" s="4"/>
      <c r="V63" s="4"/>
      <c r="W63" s="4"/>
      <c r="X63" s="4"/>
      <c r="Y63" s="4"/>
      <c r="Z63" s="4"/>
    </row>
    <row r="64" spans="1:26" ht="94.35" customHeight="1" x14ac:dyDescent="0.2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4"/>
      <c r="Q64" s="15"/>
      <c r="R64" s="4"/>
      <c r="S64" s="4"/>
      <c r="T64" s="4"/>
      <c r="U64" s="4"/>
      <c r="V64" s="4"/>
      <c r="W64" s="4"/>
      <c r="X64" s="4"/>
      <c r="Y64" s="4"/>
      <c r="Z64" s="4"/>
    </row>
    <row r="65" spans="1:26" ht="94.35" customHeight="1" x14ac:dyDescent="0.2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4"/>
      <c r="Q65" s="15"/>
      <c r="R65" s="4"/>
      <c r="S65" s="4"/>
      <c r="T65" s="4"/>
      <c r="U65" s="4"/>
      <c r="V65" s="4"/>
      <c r="W65" s="4"/>
      <c r="X65" s="4"/>
      <c r="Y65" s="4"/>
      <c r="Z65" s="4"/>
    </row>
    <row r="66" spans="1:26" ht="94.35" customHeight="1" x14ac:dyDescent="0.2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4"/>
      <c r="Q66" s="15"/>
      <c r="R66" s="4"/>
      <c r="S66" s="4"/>
      <c r="T66" s="4"/>
      <c r="U66" s="4"/>
      <c r="V66" s="4"/>
      <c r="W66" s="4"/>
      <c r="X66" s="4"/>
      <c r="Y66" s="4"/>
      <c r="Z66" s="4"/>
    </row>
    <row r="67" spans="1:26" ht="94.35" customHeight="1" x14ac:dyDescent="0.2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4"/>
      <c r="Q67" s="15"/>
      <c r="R67" s="4"/>
      <c r="S67" s="4"/>
      <c r="T67" s="4"/>
      <c r="U67" s="4"/>
      <c r="V67" s="4"/>
      <c r="W67" s="4"/>
      <c r="X67" s="4"/>
      <c r="Y67" s="4"/>
      <c r="Z67" s="4"/>
    </row>
    <row r="68" spans="1:26" ht="94.35" customHeight="1" x14ac:dyDescent="0.2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4"/>
      <c r="Q68" s="15"/>
      <c r="R68" s="4"/>
      <c r="S68" s="4"/>
      <c r="T68" s="4"/>
      <c r="U68" s="4"/>
      <c r="V68" s="4"/>
      <c r="W68" s="4"/>
      <c r="X68" s="4"/>
      <c r="Y68" s="4"/>
      <c r="Z68" s="4"/>
    </row>
    <row r="69" spans="1:26" ht="94.35" customHeight="1" x14ac:dyDescent="0.2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4"/>
      <c r="Q69" s="15"/>
      <c r="R69" s="4"/>
      <c r="S69" s="4"/>
      <c r="T69" s="4"/>
      <c r="U69" s="4"/>
      <c r="V69" s="4"/>
      <c r="W69" s="4"/>
      <c r="X69" s="4"/>
      <c r="Y69" s="4"/>
      <c r="Z69" s="4"/>
    </row>
    <row r="70" spans="1:26" ht="94.35" customHeight="1" x14ac:dyDescent="0.2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4"/>
      <c r="Q70" s="15"/>
      <c r="R70" s="4"/>
      <c r="S70" s="4"/>
      <c r="T70" s="4"/>
      <c r="U70" s="4"/>
      <c r="V70" s="4"/>
      <c r="W70" s="4"/>
      <c r="X70" s="4"/>
      <c r="Y70" s="4"/>
      <c r="Z70" s="4"/>
    </row>
    <row r="71" spans="1:26" ht="94.35" customHeight="1" x14ac:dyDescent="0.2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4"/>
      <c r="Q71" s="15"/>
      <c r="R71" s="4"/>
      <c r="S71" s="4"/>
      <c r="T71" s="4"/>
      <c r="U71" s="4"/>
      <c r="V71" s="4"/>
      <c r="W71" s="4"/>
      <c r="X71" s="4"/>
      <c r="Y71" s="4"/>
      <c r="Z71" s="4"/>
    </row>
    <row r="72" spans="1:26" ht="94.35" customHeight="1" x14ac:dyDescent="0.2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4"/>
      <c r="Q72" s="15"/>
      <c r="R72" s="4"/>
      <c r="S72" s="4"/>
      <c r="T72" s="4"/>
      <c r="U72" s="4"/>
      <c r="V72" s="4"/>
      <c r="W72" s="4"/>
      <c r="X72" s="4"/>
      <c r="Y72" s="4"/>
      <c r="Z72" s="4"/>
    </row>
    <row r="73" spans="1:26" ht="94.35" customHeight="1" x14ac:dyDescent="0.2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4"/>
      <c r="Q73" s="15"/>
      <c r="R73" s="4"/>
      <c r="S73" s="4"/>
      <c r="T73" s="4"/>
      <c r="U73" s="4"/>
      <c r="V73" s="4"/>
      <c r="W73" s="4"/>
      <c r="X73" s="4"/>
      <c r="Y73" s="4"/>
      <c r="Z73" s="4"/>
    </row>
    <row r="74" spans="1:26" ht="94.35" customHeight="1" x14ac:dyDescent="0.2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4"/>
      <c r="Q74" s="15"/>
      <c r="R74" s="4"/>
      <c r="S74" s="4"/>
      <c r="T74" s="4"/>
      <c r="U74" s="4"/>
      <c r="V74" s="4"/>
      <c r="W74" s="4"/>
      <c r="X74" s="4"/>
      <c r="Y74" s="4"/>
      <c r="Z74" s="4"/>
    </row>
    <row r="75" spans="1:26" ht="94.35" customHeight="1" x14ac:dyDescent="0.2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4"/>
      <c r="Q75" s="15"/>
      <c r="R75" s="4"/>
      <c r="S75" s="4"/>
      <c r="T75" s="4"/>
      <c r="U75" s="4"/>
      <c r="V75" s="4"/>
      <c r="W75" s="4"/>
      <c r="X75" s="4"/>
      <c r="Y75" s="4"/>
      <c r="Z75" s="4"/>
    </row>
    <row r="76" spans="1:26" ht="94.35" customHeight="1" x14ac:dyDescent="0.2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4"/>
      <c r="Q76" s="15"/>
      <c r="R76" s="4"/>
      <c r="S76" s="4"/>
      <c r="T76" s="4"/>
      <c r="U76" s="4"/>
      <c r="V76" s="4"/>
      <c r="W76" s="4"/>
      <c r="X76" s="4"/>
      <c r="Y76" s="4"/>
      <c r="Z76" s="4"/>
    </row>
    <row r="77" spans="1:26" ht="94.35" customHeight="1" x14ac:dyDescent="0.2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4"/>
      <c r="Q77" s="15"/>
      <c r="R77" s="4"/>
      <c r="S77" s="4"/>
      <c r="T77" s="4"/>
      <c r="U77" s="4"/>
      <c r="V77" s="4"/>
      <c r="W77" s="4"/>
      <c r="X77" s="4"/>
      <c r="Y77" s="4"/>
      <c r="Z77" s="4"/>
    </row>
    <row r="78" spans="1:26" ht="94.35" customHeight="1" x14ac:dyDescent="0.2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4"/>
      <c r="Q78" s="15"/>
      <c r="R78" s="4"/>
      <c r="S78" s="4"/>
      <c r="T78" s="4"/>
      <c r="U78" s="4"/>
      <c r="V78" s="4"/>
      <c r="W78" s="4"/>
      <c r="X78" s="4"/>
      <c r="Y78" s="4"/>
      <c r="Z78" s="4"/>
    </row>
    <row r="79" spans="1:26" ht="94.35" customHeight="1" x14ac:dyDescent="0.2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4"/>
      <c r="Q79" s="15"/>
      <c r="R79" s="4"/>
      <c r="S79" s="4"/>
      <c r="T79" s="4"/>
      <c r="U79" s="4"/>
      <c r="V79" s="4"/>
      <c r="W79" s="4"/>
      <c r="X79" s="4"/>
      <c r="Y79" s="4"/>
      <c r="Z79" s="4"/>
    </row>
    <row r="80" spans="1:26" ht="94.35" customHeight="1" x14ac:dyDescent="0.2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4"/>
      <c r="Q80" s="15"/>
      <c r="R80" s="4"/>
      <c r="S80" s="4"/>
      <c r="T80" s="4"/>
      <c r="U80" s="4"/>
      <c r="V80" s="4"/>
      <c r="W80" s="4"/>
      <c r="X80" s="4"/>
      <c r="Y80" s="4"/>
      <c r="Z80" s="4"/>
    </row>
    <row r="81" spans="1:26" ht="94.3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15"/>
      <c r="R81" s="4"/>
      <c r="S81" s="4"/>
      <c r="T81" s="4"/>
      <c r="U81" s="4"/>
      <c r="V81" s="4"/>
      <c r="W81" s="4"/>
      <c r="X81" s="4"/>
      <c r="Y81" s="4"/>
      <c r="Z81" s="4"/>
    </row>
    <row r="82" spans="1:26" ht="94.3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15"/>
      <c r="R82" s="4"/>
      <c r="S82" s="4"/>
      <c r="T82" s="4"/>
      <c r="U82" s="4"/>
      <c r="V82" s="4"/>
      <c r="W82" s="4"/>
      <c r="X82" s="4"/>
      <c r="Y82" s="4"/>
      <c r="Z82" s="4"/>
    </row>
    <row r="83" spans="1:26" ht="94.3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15"/>
      <c r="R83" s="4"/>
      <c r="S83" s="4"/>
      <c r="T83" s="4"/>
      <c r="U83" s="4"/>
      <c r="V83" s="4"/>
      <c r="W83" s="4"/>
      <c r="X83" s="4"/>
      <c r="Y83" s="4"/>
      <c r="Z83" s="4"/>
    </row>
    <row r="84" spans="1:26" ht="94.3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15"/>
      <c r="R84" s="4"/>
      <c r="S84" s="4"/>
      <c r="T84" s="4"/>
      <c r="U84" s="4"/>
      <c r="V84" s="4"/>
      <c r="W84" s="4"/>
      <c r="X84" s="4"/>
      <c r="Y84" s="4"/>
      <c r="Z84" s="4"/>
    </row>
    <row r="85" spans="1:26" ht="94.3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15"/>
      <c r="R85" s="4"/>
      <c r="S85" s="4"/>
      <c r="T85" s="4"/>
      <c r="U85" s="4"/>
      <c r="V85" s="4"/>
      <c r="W85" s="4"/>
      <c r="X85" s="4"/>
      <c r="Y85" s="4"/>
      <c r="Z85" s="4"/>
    </row>
    <row r="86" spans="1:26" ht="94.3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15"/>
      <c r="R86" s="4"/>
      <c r="S86" s="4"/>
      <c r="T86" s="4"/>
      <c r="U86" s="4"/>
      <c r="V86" s="4"/>
      <c r="W86" s="4"/>
      <c r="X86" s="4"/>
      <c r="Y86" s="4"/>
      <c r="Z86" s="4"/>
    </row>
    <row r="87" spans="1:26" ht="94.3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15"/>
      <c r="R87" s="4"/>
      <c r="S87" s="4"/>
      <c r="T87" s="4"/>
      <c r="U87" s="4"/>
      <c r="V87" s="4"/>
      <c r="W87" s="4"/>
      <c r="X87" s="4"/>
      <c r="Y87" s="4"/>
      <c r="Z87" s="4"/>
    </row>
    <row r="88" spans="1:26" ht="94.3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15"/>
      <c r="R88" s="4"/>
      <c r="S88" s="4"/>
      <c r="T88" s="4"/>
      <c r="U88" s="4"/>
      <c r="V88" s="4"/>
      <c r="W88" s="4"/>
      <c r="X88" s="4"/>
      <c r="Y88" s="4"/>
      <c r="Z88" s="4"/>
    </row>
    <row r="89" spans="1:26" ht="94.3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15"/>
      <c r="R89" s="4"/>
      <c r="S89" s="4"/>
      <c r="T89" s="4"/>
      <c r="U89" s="4"/>
      <c r="V89" s="4"/>
      <c r="W89" s="4"/>
      <c r="X89" s="4"/>
      <c r="Y89" s="4"/>
      <c r="Z89" s="4"/>
    </row>
    <row r="90" spans="1:26" ht="94.3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15"/>
      <c r="R90" s="4"/>
      <c r="S90" s="4"/>
      <c r="T90" s="4"/>
      <c r="U90" s="4"/>
      <c r="V90" s="4"/>
      <c r="W90" s="4"/>
      <c r="X90" s="4"/>
      <c r="Y90" s="4"/>
      <c r="Z90" s="4"/>
    </row>
    <row r="91" spans="1:26" ht="94.3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15"/>
      <c r="R91" s="4"/>
      <c r="S91" s="4"/>
      <c r="T91" s="4"/>
      <c r="U91" s="4"/>
      <c r="V91" s="4"/>
      <c r="W91" s="4"/>
      <c r="X91" s="4"/>
      <c r="Y91" s="4"/>
      <c r="Z91" s="4"/>
    </row>
    <row r="92" spans="1:26" ht="94.3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15"/>
      <c r="R92" s="4"/>
      <c r="S92" s="4"/>
      <c r="T92" s="4"/>
      <c r="U92" s="4"/>
      <c r="V92" s="4"/>
      <c r="W92" s="4"/>
      <c r="X92" s="4"/>
      <c r="Y92" s="4"/>
      <c r="Z92" s="4"/>
    </row>
    <row r="93" spans="1:26" ht="94.3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15"/>
      <c r="R93" s="4"/>
      <c r="S93" s="4"/>
      <c r="T93" s="4"/>
      <c r="U93" s="4"/>
      <c r="V93" s="4"/>
      <c r="W93" s="4"/>
      <c r="X93" s="4"/>
      <c r="Y93" s="4"/>
      <c r="Z93" s="4"/>
    </row>
    <row r="94" spans="1:26" ht="94.3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15"/>
      <c r="R94" s="4"/>
      <c r="S94" s="4"/>
      <c r="T94" s="4"/>
      <c r="U94" s="4"/>
      <c r="V94" s="4"/>
      <c r="W94" s="4"/>
      <c r="X94" s="4"/>
      <c r="Y94" s="4"/>
      <c r="Z94" s="4"/>
    </row>
    <row r="95" spans="1:26" ht="94.3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15"/>
      <c r="R95" s="4"/>
      <c r="S95" s="4"/>
      <c r="T95" s="4"/>
      <c r="U95" s="4"/>
      <c r="V95" s="4"/>
      <c r="W95" s="4"/>
      <c r="X95" s="4"/>
      <c r="Y95" s="4"/>
      <c r="Z95" s="4"/>
    </row>
    <row r="96" spans="1:26" ht="94.3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15"/>
      <c r="R96" s="4"/>
      <c r="S96" s="4"/>
      <c r="T96" s="4"/>
      <c r="U96" s="4"/>
      <c r="V96" s="4"/>
      <c r="W96" s="4"/>
      <c r="X96" s="4"/>
      <c r="Y96" s="4"/>
      <c r="Z96" s="4"/>
    </row>
    <row r="97" spans="1:26" ht="94.3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15"/>
      <c r="R97" s="4"/>
      <c r="S97" s="4"/>
      <c r="T97" s="4"/>
      <c r="U97" s="4"/>
      <c r="V97" s="4"/>
      <c r="W97" s="4"/>
      <c r="X97" s="4"/>
      <c r="Y97" s="4"/>
      <c r="Z97" s="4"/>
    </row>
    <row r="98" spans="1:26" ht="94.3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15"/>
      <c r="R98" s="4"/>
      <c r="S98" s="4"/>
      <c r="T98" s="4"/>
      <c r="U98" s="4"/>
      <c r="V98" s="4"/>
      <c r="W98" s="4"/>
      <c r="X98" s="4"/>
      <c r="Y98" s="4"/>
      <c r="Z98" s="4"/>
    </row>
    <row r="99" spans="1:26" ht="94.3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15"/>
      <c r="R99" s="4"/>
      <c r="S99" s="4"/>
      <c r="T99" s="4"/>
      <c r="U99" s="4"/>
      <c r="V99" s="4"/>
      <c r="W99" s="4"/>
      <c r="X99" s="4"/>
      <c r="Y99" s="4"/>
      <c r="Z99" s="4"/>
    </row>
    <row r="100" spans="1:26" ht="94.3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15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0.199999999999999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15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0.199999999999999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15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0.199999999999999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15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0.199999999999999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15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0.199999999999999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15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0.199999999999999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15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0.199999999999999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15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0.199999999999999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15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0.199999999999999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15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0.199999999999999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15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0.199999999999999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15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0.199999999999999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15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0.199999999999999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15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0.199999999999999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15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0.199999999999999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15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0.199999999999999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15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0.199999999999999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15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0.199999999999999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15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0.199999999999999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15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0.199999999999999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15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0.199999999999999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15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0.199999999999999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15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0.199999999999999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15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0.199999999999999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15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0.199999999999999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15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0.199999999999999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15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0.199999999999999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15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0.199999999999999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15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0.199999999999999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15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0.199999999999999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15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0.199999999999999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15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0.199999999999999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15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0.199999999999999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15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0.199999999999999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15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0.199999999999999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15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0.199999999999999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15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0.199999999999999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15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0.199999999999999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15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0.199999999999999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15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0.199999999999999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15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0.199999999999999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15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0.199999999999999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15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0.199999999999999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15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0.199999999999999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15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0.199999999999999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15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0.199999999999999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15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0.199999999999999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15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0.199999999999999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15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0.199999999999999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15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0.199999999999999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15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0.199999999999999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15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0.199999999999999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15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0.199999999999999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15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0.199999999999999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15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0.199999999999999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15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0.199999999999999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15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0.199999999999999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15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0.199999999999999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15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0.199999999999999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15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0.199999999999999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15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0.199999999999999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15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0.199999999999999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15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0.199999999999999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15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0.199999999999999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15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0.199999999999999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15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0.199999999999999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15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0.199999999999999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15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0.199999999999999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15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0.199999999999999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15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0.199999999999999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15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0.199999999999999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15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0.199999999999999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15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0.199999999999999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15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0.199999999999999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15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0.199999999999999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15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0.199999999999999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15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0.199999999999999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15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0.199999999999999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15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0.199999999999999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15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0.199999999999999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15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0.199999999999999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15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0.199999999999999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15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0.199999999999999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15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0.199999999999999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15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0.199999999999999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15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0.199999999999999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15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0.199999999999999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15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0.199999999999999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15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0.199999999999999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15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0.199999999999999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15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0.199999999999999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15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0.199999999999999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15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0.199999999999999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15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0.199999999999999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15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0.199999999999999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15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0.199999999999999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15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0.199999999999999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15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0.199999999999999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15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0.199999999999999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15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0.199999999999999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15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0.199999999999999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15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0.199999999999999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15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0.199999999999999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15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0.199999999999999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15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0.199999999999999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15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0.199999999999999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15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0.199999999999999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15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0.199999999999999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15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0.199999999999999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15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0.199999999999999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15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0.199999999999999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15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0.199999999999999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15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0.199999999999999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15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0.199999999999999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15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0.199999999999999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15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0.199999999999999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15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0.199999999999999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15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0.199999999999999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15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0.199999999999999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15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0.199999999999999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15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0.199999999999999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15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0.199999999999999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15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0.199999999999999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15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0.199999999999999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15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0.199999999999999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15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0.199999999999999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15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0.199999999999999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15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0.199999999999999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15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0.199999999999999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15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0.199999999999999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15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0.199999999999999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15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0.199999999999999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15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0.199999999999999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15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0.199999999999999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15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0.199999999999999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15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0.199999999999999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15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0.199999999999999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15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0.199999999999999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15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0.199999999999999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15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0.199999999999999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15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0.199999999999999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15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0.199999999999999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15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0.199999999999999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15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0.199999999999999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15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0.199999999999999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15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0.199999999999999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15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0.199999999999999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15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0.199999999999999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15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0.199999999999999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15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0.199999999999999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15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0.199999999999999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15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0.199999999999999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15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0.199999999999999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15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0.199999999999999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15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0.199999999999999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15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0.199999999999999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15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0.199999999999999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15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0.199999999999999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15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0.199999999999999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15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0.199999999999999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15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0.199999999999999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15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0.199999999999999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15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0.199999999999999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15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0.199999999999999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15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0.199999999999999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15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0.199999999999999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15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0.199999999999999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15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0.199999999999999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15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0.199999999999999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15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0.199999999999999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15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0.199999999999999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15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0.199999999999999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15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0.199999999999999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15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0.199999999999999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15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0.199999999999999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15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0.199999999999999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15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0.199999999999999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15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0.199999999999999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15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0.199999999999999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15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0.199999999999999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15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0.199999999999999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15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0.199999999999999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15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0.199999999999999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15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0.199999999999999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15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0.199999999999999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15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0.199999999999999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15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0.199999999999999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15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0.199999999999999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15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0.199999999999999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15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0.199999999999999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15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0.199999999999999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15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0.199999999999999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15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0.199999999999999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15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0.199999999999999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15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0.199999999999999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15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0.199999999999999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15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0.199999999999999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15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0.199999999999999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15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0.199999999999999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15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0.199999999999999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15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0.199999999999999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15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0.199999999999999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15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0.199999999999999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15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0.199999999999999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15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0.199999999999999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15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0.199999999999999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15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0.199999999999999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15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0.199999999999999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15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0.199999999999999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15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0.199999999999999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15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0.199999999999999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15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0.199999999999999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15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0.199999999999999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15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0.199999999999999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15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0.199999999999999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15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0.199999999999999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15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0.199999999999999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15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0.199999999999999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15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0.199999999999999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15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0.199999999999999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15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0.199999999999999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15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0.199999999999999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15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0.199999999999999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15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0.199999999999999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15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0.199999999999999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15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0.199999999999999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15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0.199999999999999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15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0.199999999999999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15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0.199999999999999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15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0.199999999999999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15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0.199999999999999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15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0.199999999999999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15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0.199999999999999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15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0.199999999999999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15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0.199999999999999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15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0.199999999999999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15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0.199999999999999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15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0.199999999999999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15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0.199999999999999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15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0.199999999999999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15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0.199999999999999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15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0.199999999999999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15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0.199999999999999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15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0.199999999999999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15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0.199999999999999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15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0.199999999999999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15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0.199999999999999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15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0.199999999999999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15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0.199999999999999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15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0.199999999999999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15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0.199999999999999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15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0.199999999999999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15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0.199999999999999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15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0.199999999999999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15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0.199999999999999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15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0.199999999999999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15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0.199999999999999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15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0.199999999999999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15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0.199999999999999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15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0.199999999999999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15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0.199999999999999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15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0.199999999999999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15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0.199999999999999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15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0.199999999999999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15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0.199999999999999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15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0.199999999999999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15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0.199999999999999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15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0.199999999999999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15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0.199999999999999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15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0.199999999999999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15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0.199999999999999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15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0.199999999999999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15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0.199999999999999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15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0.199999999999999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15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0.199999999999999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15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0.199999999999999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15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0.199999999999999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15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0.199999999999999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15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0.199999999999999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15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0.199999999999999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15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0.199999999999999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15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0.199999999999999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15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0.199999999999999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15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0.199999999999999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15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0.199999999999999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15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0.199999999999999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15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0.199999999999999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15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0.199999999999999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15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0.199999999999999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15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0.199999999999999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15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0.199999999999999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15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0.199999999999999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15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0.199999999999999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15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0.199999999999999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15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0.199999999999999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15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0.199999999999999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15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0.199999999999999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15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0.199999999999999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15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0.199999999999999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15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0.199999999999999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15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0.199999999999999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15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0.199999999999999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15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0.199999999999999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15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0.199999999999999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15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0.199999999999999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15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0.199999999999999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15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0.199999999999999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15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0.199999999999999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15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0.199999999999999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15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0.199999999999999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15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0.199999999999999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15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0.199999999999999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15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0.199999999999999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15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0.199999999999999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15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0.199999999999999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15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0.199999999999999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15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0.199999999999999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15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0.199999999999999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15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0.199999999999999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15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0.199999999999999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15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0.199999999999999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15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0.199999999999999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15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0.199999999999999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15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0.199999999999999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15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0.199999999999999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15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0.199999999999999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15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0.199999999999999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15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0.199999999999999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15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0.199999999999999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15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0.199999999999999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15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0.199999999999999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15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0.199999999999999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15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0.199999999999999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15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0.199999999999999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15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0.199999999999999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15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0.199999999999999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15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0.199999999999999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15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0.199999999999999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15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0.199999999999999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15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0.199999999999999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15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0.199999999999999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15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0.199999999999999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15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0.199999999999999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15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0.199999999999999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15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0.199999999999999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15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0.199999999999999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15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0.199999999999999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15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0.199999999999999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15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0.199999999999999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15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0.199999999999999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15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0.199999999999999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15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0.199999999999999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15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0.199999999999999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15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0.199999999999999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15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0.199999999999999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15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0.199999999999999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15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0.199999999999999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15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0.199999999999999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15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0.199999999999999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15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0.199999999999999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15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0.199999999999999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15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0.199999999999999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15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0.199999999999999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15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0.199999999999999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15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0.199999999999999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15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0.199999999999999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15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0.199999999999999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15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0.199999999999999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15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0.199999999999999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15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0.199999999999999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15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0.199999999999999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15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0.199999999999999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15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0.199999999999999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15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0.199999999999999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15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0.199999999999999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15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0.199999999999999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15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0.199999999999999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15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0.199999999999999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15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0.199999999999999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15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0.199999999999999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15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0.199999999999999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15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0.199999999999999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15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0.199999999999999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15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0.199999999999999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15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0.199999999999999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15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0.199999999999999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15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0.199999999999999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15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0.199999999999999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15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0.199999999999999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15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0.199999999999999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15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0.199999999999999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15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0.199999999999999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15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0.199999999999999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15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0.199999999999999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15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0.199999999999999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15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0.199999999999999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15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0.199999999999999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15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0.199999999999999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15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0.199999999999999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15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0.199999999999999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15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0.199999999999999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15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0.199999999999999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15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0.199999999999999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15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0.199999999999999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15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0.199999999999999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15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0.199999999999999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15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0.199999999999999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15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0.199999999999999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15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0.199999999999999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15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0.199999999999999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15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0.199999999999999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15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0.199999999999999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15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0.199999999999999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15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0.199999999999999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15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0.199999999999999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15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0.199999999999999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15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0.199999999999999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15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0.199999999999999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15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0.199999999999999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15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0.199999999999999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15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0.199999999999999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15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0.199999999999999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15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0.199999999999999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15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0.199999999999999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15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0.199999999999999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15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0.199999999999999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15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0.199999999999999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15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0.199999999999999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15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0.199999999999999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15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0.199999999999999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15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0.199999999999999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15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0.199999999999999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15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0.199999999999999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15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0.199999999999999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15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0.199999999999999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15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0.199999999999999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15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0.199999999999999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15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0.199999999999999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15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0.199999999999999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15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0.199999999999999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15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0.199999999999999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15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0.199999999999999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15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0.199999999999999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15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0.199999999999999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15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0.199999999999999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15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0.199999999999999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15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0.199999999999999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15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0.199999999999999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15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0.199999999999999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15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0.199999999999999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15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0.199999999999999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15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0.199999999999999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15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0.199999999999999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15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0.199999999999999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15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0.199999999999999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15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0.199999999999999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15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0.199999999999999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15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0.199999999999999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15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0.199999999999999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15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0.199999999999999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15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0.199999999999999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15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0.199999999999999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15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0.199999999999999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15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0.199999999999999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15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0.199999999999999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15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0.199999999999999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15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0.199999999999999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15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0.199999999999999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15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0.199999999999999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15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0.199999999999999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15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0.199999999999999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15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0.199999999999999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15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0.199999999999999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15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0.199999999999999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15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0.199999999999999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15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0.199999999999999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15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0.199999999999999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15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0.199999999999999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15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0.199999999999999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15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0.199999999999999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15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0.199999999999999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15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0.199999999999999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15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0.199999999999999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15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0.199999999999999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15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0.199999999999999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15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0.199999999999999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15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0.199999999999999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15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0.199999999999999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15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0.199999999999999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15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0.199999999999999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15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0.199999999999999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15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0.199999999999999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15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0.199999999999999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15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0.199999999999999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15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0.199999999999999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15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0.199999999999999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15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0.199999999999999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15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0.199999999999999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15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0.199999999999999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15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0.199999999999999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15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0.199999999999999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15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0.199999999999999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15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0.199999999999999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15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0.199999999999999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15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0.199999999999999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15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0.199999999999999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15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0.199999999999999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15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0.199999999999999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15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0.199999999999999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15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0.199999999999999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15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0.199999999999999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15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0.199999999999999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15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0.199999999999999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15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0.199999999999999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15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0.199999999999999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15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0.199999999999999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15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0.199999999999999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15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0.199999999999999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15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0.199999999999999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15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0.199999999999999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15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0.199999999999999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15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0.199999999999999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15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0.199999999999999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15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0.199999999999999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15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0.199999999999999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15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0.199999999999999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15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0.199999999999999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15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0.199999999999999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15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0.199999999999999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15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0.199999999999999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15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0.199999999999999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15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0.199999999999999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15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0.199999999999999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15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0.199999999999999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15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0.199999999999999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15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0.199999999999999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15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0.199999999999999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15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0.199999999999999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15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0.199999999999999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15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0.199999999999999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15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0.199999999999999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15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0.199999999999999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15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0.199999999999999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15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0.199999999999999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15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0.199999999999999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15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0.199999999999999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15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0.199999999999999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15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0.199999999999999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15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0.199999999999999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15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0.199999999999999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15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0.199999999999999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15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0.199999999999999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15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0.199999999999999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15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0.199999999999999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15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0.199999999999999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15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0.199999999999999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15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0.199999999999999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15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0.199999999999999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15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0.199999999999999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15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0.199999999999999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15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0.199999999999999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15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0.199999999999999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15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0.199999999999999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15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0.199999999999999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15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0.199999999999999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15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0.199999999999999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15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0.199999999999999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15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0.199999999999999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15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0.199999999999999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15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0.199999999999999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15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0.199999999999999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15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0.199999999999999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15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0.199999999999999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15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0.199999999999999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15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0.199999999999999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15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0.199999999999999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15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0.199999999999999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15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0.199999999999999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15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0.199999999999999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15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0.199999999999999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15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0.199999999999999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15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0.199999999999999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15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0.199999999999999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15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0.199999999999999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15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0.199999999999999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15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0.199999999999999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15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0.199999999999999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15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0.199999999999999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15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0.199999999999999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15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0.199999999999999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15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0.199999999999999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15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0.199999999999999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15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0.199999999999999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15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0.199999999999999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15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0.199999999999999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15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0.199999999999999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15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0.199999999999999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15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0.199999999999999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15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0.199999999999999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15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0.199999999999999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15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0.199999999999999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15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0.199999999999999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15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0.199999999999999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15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0.199999999999999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15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0.199999999999999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15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0.199999999999999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15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0.199999999999999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15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0.199999999999999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15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0.199999999999999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15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0.199999999999999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15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0.199999999999999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15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0.199999999999999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15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0.199999999999999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15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0.199999999999999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15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0.199999999999999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15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0.199999999999999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15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0.199999999999999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15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0.199999999999999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15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0.199999999999999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15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0.199999999999999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15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0.199999999999999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15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0.199999999999999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15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0.199999999999999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15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0.199999999999999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15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0.199999999999999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15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0.199999999999999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15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0.199999999999999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15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0.199999999999999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15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0.199999999999999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15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0.199999999999999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15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0.199999999999999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15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0.199999999999999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15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0.199999999999999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15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0.199999999999999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15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0.199999999999999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15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0.199999999999999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15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0.199999999999999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15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0.199999999999999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15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0.199999999999999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15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0.199999999999999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15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0.199999999999999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15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0.199999999999999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15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0.199999999999999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15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0.199999999999999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15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0.199999999999999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15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0.199999999999999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15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0.199999999999999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15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0.199999999999999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15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0.199999999999999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15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0.199999999999999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15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0.199999999999999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15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0.199999999999999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15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0.199999999999999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15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0.199999999999999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15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0.199999999999999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15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0.199999999999999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15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0.199999999999999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15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0.199999999999999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15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0.199999999999999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15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0.199999999999999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15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0.199999999999999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15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0.199999999999999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15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0.199999999999999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15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0.199999999999999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15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0.199999999999999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15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0.199999999999999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15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0.199999999999999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15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0.199999999999999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15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0.199999999999999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15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0.199999999999999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15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0.199999999999999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15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0.199999999999999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15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0.199999999999999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15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0.199999999999999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15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0.199999999999999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15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0.199999999999999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15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0.199999999999999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15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0.199999999999999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15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0.199999999999999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15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0.199999999999999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15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0.199999999999999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15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0.199999999999999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15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0.199999999999999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15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0.199999999999999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15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0.199999999999999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15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0.199999999999999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15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0.199999999999999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15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0.199999999999999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15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0.199999999999999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15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0.199999999999999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15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0.199999999999999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15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0.199999999999999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15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0.199999999999999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15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0.199999999999999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15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0.199999999999999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15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0.199999999999999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15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0.199999999999999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15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0.199999999999999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15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0.199999999999999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15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0.199999999999999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15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0.199999999999999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15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0.199999999999999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15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0.199999999999999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15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0.199999999999999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15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0.199999999999999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15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0.199999999999999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15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0.199999999999999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15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0.199999999999999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15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0.199999999999999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15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0.199999999999999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15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0.199999999999999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15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0.199999999999999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15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0.199999999999999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15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0.199999999999999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15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0.199999999999999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15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0.199999999999999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15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0.199999999999999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15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0.199999999999999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15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0.199999999999999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15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0.199999999999999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15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0.199999999999999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15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0.199999999999999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15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0.199999999999999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15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0.199999999999999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15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0.199999999999999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15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0.199999999999999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15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0.199999999999999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15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0.199999999999999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15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0.199999999999999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15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0.199999999999999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15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0.199999999999999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15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0.199999999999999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15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0.199999999999999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15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0.199999999999999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15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0.199999999999999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15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0.199999999999999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15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0.199999999999999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15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0.199999999999999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15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0.199999999999999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15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0.199999999999999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15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0.199999999999999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15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0.199999999999999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15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0.199999999999999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15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0.199999999999999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15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0.199999999999999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15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0.199999999999999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15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0.199999999999999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15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0.199999999999999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15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0.199999999999999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15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0.199999999999999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15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0.199999999999999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15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0.199999999999999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15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0.199999999999999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15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0.199999999999999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15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0.199999999999999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15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0.199999999999999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15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0.199999999999999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15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0.199999999999999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15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0.199999999999999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15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0.199999999999999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15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0.199999999999999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15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0.199999999999999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15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0.199999999999999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15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0.199999999999999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15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0.199999999999999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15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0.199999999999999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15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0.199999999999999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15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0.199999999999999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15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0.199999999999999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15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0.199999999999999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15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0.199999999999999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15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0.199999999999999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15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0.199999999999999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15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0.199999999999999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15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0.199999999999999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15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0.199999999999999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15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0.199999999999999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15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0.199999999999999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15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0.199999999999999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15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0.199999999999999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15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0.199999999999999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15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0.199999999999999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15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0.199999999999999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15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0.199999999999999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15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0.199999999999999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15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0.199999999999999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15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0.199999999999999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15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0.199999999999999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15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0.199999999999999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15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0.199999999999999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15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0.199999999999999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15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0.199999999999999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15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0.199999999999999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15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0.199999999999999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15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0.199999999999999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15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0.199999999999999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15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0.199999999999999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15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0.199999999999999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15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0.199999999999999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15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0.199999999999999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15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0.199999999999999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15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0.199999999999999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15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0.199999999999999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15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0.199999999999999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15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0.199999999999999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15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0.199999999999999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15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0.199999999999999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15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0.199999999999999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15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0.199999999999999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15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0.199999999999999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15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0.199999999999999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15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0.199999999999999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15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0.199999999999999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15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0.199999999999999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15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0.199999999999999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15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0.199999999999999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15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0.199999999999999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15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0.199999999999999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15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0.199999999999999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15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0.199999999999999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15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0.199999999999999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15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0.199999999999999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15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0.199999999999999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15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0.199999999999999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15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0.199999999999999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15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0.199999999999999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15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0.199999999999999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15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0.199999999999999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15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0.199999999999999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15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0.199999999999999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15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0.199999999999999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15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0.199999999999999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15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0.199999999999999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15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0.199999999999999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15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0.199999999999999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15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0.199999999999999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15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0.199999999999999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15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0.199999999999999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15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0.199999999999999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15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0.199999999999999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15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0.199999999999999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15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0.199999999999999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15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0.199999999999999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15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0.199999999999999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15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0.199999999999999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15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0.199999999999999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15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0.199999999999999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15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0.199999999999999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15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0.199999999999999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15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0.199999999999999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15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0.199999999999999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15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0.199999999999999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15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0.199999999999999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15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0.199999999999999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15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0.199999999999999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15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0.199999999999999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15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0.199999999999999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15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0.199999999999999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15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0.199999999999999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15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0.199999999999999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15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0.199999999999999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15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0.199999999999999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15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0.199999999999999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15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0.199999999999999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15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0.199999999999999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15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0.199999999999999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15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0.199999999999999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15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0.199999999999999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15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0.199999999999999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15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0.199999999999999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15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0.199999999999999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15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0.199999999999999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15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0.199999999999999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15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0.199999999999999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15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0.199999999999999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15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0.199999999999999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15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0.199999999999999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15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0.199999999999999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15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0.199999999999999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15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0.199999999999999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15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0.199999999999999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15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0.199999999999999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15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0.199999999999999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15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0.199999999999999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15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0.199999999999999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15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0.199999999999999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15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0.199999999999999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15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0.199999999999999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15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0.199999999999999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15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0.199999999999999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15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0.199999999999999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15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0.199999999999999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15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0.199999999999999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15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0.199999999999999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15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0.199999999999999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15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0.199999999999999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15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0.199999999999999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15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0.199999999999999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15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0.199999999999999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15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0.199999999999999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15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0.199999999999999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15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0.199999999999999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15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0.199999999999999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15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0.199999999999999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15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0.199999999999999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15"/>
      <c r="R1005" s="4"/>
      <c r="S1005" s="4"/>
      <c r="T1005" s="4"/>
      <c r="U1005" s="4"/>
      <c r="V1005" s="4"/>
      <c r="W1005" s="4"/>
      <c r="X1005" s="4"/>
      <c r="Y1005" s="4"/>
      <c r="Z1005" s="4"/>
    </row>
  </sheetData>
  <mergeCells count="4">
    <mergeCell ref="B1:E1"/>
    <mergeCell ref="A2:A3"/>
    <mergeCell ref="B2:E3"/>
    <mergeCell ref="B4:E4"/>
  </mergeCells>
  <dataValidations count="1">
    <dataValidation type="list" allowBlank="1" showErrorMessage="1" sqref="G2:G3 J2:J3 M2:M3 G9 J9 M9 F12:F28 I12:I28 L12:L28 G29:G152 J29:J152 M29:M152" xr:uid="{00000000-0002-0000-0300-000000000000}">
      <formula1>$R$2:$R$5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95"/>
  <sheetViews>
    <sheetView workbookViewId="0"/>
  </sheetViews>
  <sheetFormatPr defaultColWidth="12.6640625" defaultRowHeight="13.2" x14ac:dyDescent="0.2"/>
  <cols>
    <col min="1" max="1" width="14" customWidth="1"/>
    <col min="2" max="2" width="34" customWidth="1"/>
    <col min="3" max="3" width="58" customWidth="1"/>
    <col min="4" max="4" width="48" customWidth="1"/>
    <col min="5" max="5" width="38" customWidth="1"/>
    <col min="6" max="6" width="9.33203125" customWidth="1"/>
    <col min="7" max="7" width="13" customWidth="1"/>
    <col min="8" max="8" width="8.77734375" customWidth="1"/>
    <col min="9" max="9" width="9.33203125" customWidth="1"/>
    <col min="10" max="10" width="13" customWidth="1"/>
    <col min="11" max="11" width="8.21875" customWidth="1"/>
    <col min="12" max="12" width="9.33203125" customWidth="1"/>
    <col min="13" max="13" width="13" customWidth="1"/>
    <col min="14" max="14" width="9.44140625" customWidth="1"/>
    <col min="15" max="15" width="28.6640625" customWidth="1"/>
    <col min="16" max="16" width="10.109375" customWidth="1"/>
    <col min="17" max="17" width="8.109375" customWidth="1"/>
    <col min="18" max="18" width="7.6640625" hidden="1" customWidth="1"/>
    <col min="19" max="26" width="9" customWidth="1"/>
  </cols>
  <sheetData>
    <row r="1" spans="1:26" ht="10.199999999999999" customHeight="1" x14ac:dyDescent="0.25">
      <c r="A1" s="53"/>
      <c r="B1" s="154"/>
      <c r="C1" s="154"/>
      <c r="D1" s="154"/>
      <c r="E1" s="154"/>
      <c r="F1" s="18"/>
      <c r="G1" s="18"/>
      <c r="H1" s="18"/>
      <c r="I1" s="18"/>
      <c r="J1" s="18"/>
      <c r="K1" s="18"/>
      <c r="L1" s="18"/>
      <c r="M1" s="18"/>
      <c r="N1" s="18"/>
      <c r="O1" s="18"/>
      <c r="P1" s="4"/>
      <c r="Q1" s="15"/>
      <c r="R1" s="4"/>
      <c r="S1" s="4"/>
      <c r="T1" s="4"/>
      <c r="U1" s="4"/>
      <c r="V1" s="4"/>
      <c r="W1" s="4"/>
      <c r="X1" s="4"/>
      <c r="Y1" s="4"/>
      <c r="Z1" s="4"/>
    </row>
    <row r="2" spans="1:26" ht="33.6" customHeight="1" x14ac:dyDescent="0.25">
      <c r="A2" s="155" t="s">
        <v>29</v>
      </c>
      <c r="B2" s="156" t="s">
        <v>405</v>
      </c>
      <c r="C2" s="157"/>
      <c r="D2" s="157"/>
      <c r="E2" s="157"/>
      <c r="F2" s="16"/>
      <c r="G2" s="17"/>
      <c r="H2" s="18"/>
      <c r="I2" s="16"/>
      <c r="J2" s="17"/>
      <c r="K2" s="18"/>
      <c r="L2" s="16"/>
      <c r="M2" s="17"/>
      <c r="N2" s="18"/>
      <c r="O2" s="18"/>
      <c r="P2" s="18"/>
      <c r="Q2" s="19"/>
      <c r="R2" s="20" t="s">
        <v>24</v>
      </c>
      <c r="S2" s="20"/>
      <c r="T2" s="20"/>
      <c r="U2" s="20"/>
      <c r="V2" s="20"/>
      <c r="W2" s="20"/>
      <c r="X2" s="20"/>
      <c r="Y2" s="20"/>
      <c r="Z2" s="20"/>
    </row>
    <row r="3" spans="1:26" ht="33.6" customHeight="1" x14ac:dyDescent="0.25">
      <c r="A3" s="155" t="s">
        <v>30</v>
      </c>
      <c r="B3" s="156" t="s">
        <v>406</v>
      </c>
      <c r="C3" s="157"/>
      <c r="D3" s="157"/>
      <c r="E3" s="157"/>
      <c r="F3" s="16"/>
      <c r="G3" s="17"/>
      <c r="H3" s="18"/>
      <c r="I3" s="16"/>
      <c r="J3" s="17"/>
      <c r="K3" s="18"/>
      <c r="L3" s="16"/>
      <c r="M3" s="17"/>
      <c r="N3" s="18"/>
      <c r="O3" s="18"/>
      <c r="P3" s="18"/>
      <c r="Q3" s="19"/>
      <c r="R3" s="20" t="s">
        <v>25</v>
      </c>
      <c r="S3" s="20"/>
      <c r="T3" s="20"/>
      <c r="U3" s="20"/>
      <c r="V3" s="20"/>
      <c r="W3" s="20"/>
      <c r="X3" s="20"/>
      <c r="Y3" s="20"/>
      <c r="Z3" s="20"/>
    </row>
    <row r="4" spans="1:26" ht="14.4" customHeight="1" x14ac:dyDescent="0.25">
      <c r="A4" s="52" t="s">
        <v>31</v>
      </c>
      <c r="B4" s="156">
        <v>14</v>
      </c>
      <c r="C4" s="157"/>
      <c r="D4" s="157"/>
      <c r="E4" s="157"/>
      <c r="F4" s="16"/>
      <c r="G4" s="17"/>
      <c r="H4" s="18"/>
      <c r="I4" s="16"/>
      <c r="J4" s="17"/>
      <c r="K4" s="18"/>
      <c r="L4" s="16"/>
      <c r="M4" s="17"/>
      <c r="N4" s="18"/>
      <c r="O4" s="18"/>
      <c r="P4" s="18"/>
      <c r="Q4" s="19"/>
      <c r="R4" s="20" t="s">
        <v>26</v>
      </c>
      <c r="S4" s="20"/>
      <c r="T4" s="20"/>
      <c r="U4" s="20"/>
      <c r="V4" s="20"/>
      <c r="W4" s="20"/>
      <c r="X4" s="20"/>
      <c r="Y4" s="20"/>
      <c r="Z4" s="20"/>
    </row>
    <row r="5" spans="1:26" ht="15.6" customHeight="1" x14ac:dyDescent="0.25">
      <c r="A5" s="51" t="s">
        <v>360</v>
      </c>
      <c r="B5" s="51" t="s">
        <v>24</v>
      </c>
      <c r="C5" s="51" t="s">
        <v>25</v>
      </c>
      <c r="D5" s="51" t="s">
        <v>26</v>
      </c>
      <c r="E5" s="51" t="s">
        <v>27</v>
      </c>
      <c r="F5" s="21"/>
      <c r="G5" s="21"/>
      <c r="H5" s="22"/>
      <c r="I5" s="21"/>
      <c r="J5" s="21"/>
      <c r="K5" s="22"/>
      <c r="L5" s="21"/>
      <c r="M5" s="21"/>
      <c r="N5" s="22"/>
      <c r="O5" s="22"/>
      <c r="P5" s="22"/>
      <c r="Q5" s="23"/>
      <c r="R5" s="20" t="s">
        <v>27</v>
      </c>
      <c r="S5" s="20"/>
      <c r="T5" s="20"/>
      <c r="U5" s="20"/>
      <c r="V5" s="20"/>
      <c r="W5" s="20"/>
      <c r="X5" s="20"/>
      <c r="Y5" s="20"/>
      <c r="Z5" s="20"/>
    </row>
    <row r="6" spans="1:26" ht="12" customHeight="1" x14ac:dyDescent="0.25">
      <c r="A6" s="51" t="s">
        <v>361</v>
      </c>
      <c r="B6" s="51">
        <f t="shared" ref="B6:E6" si="0">COUNTIF($F$12:$F$1005,B$5)</f>
        <v>14</v>
      </c>
      <c r="C6" s="51">
        <f t="shared" si="0"/>
        <v>0</v>
      </c>
      <c r="D6" s="51">
        <f t="shared" si="0"/>
        <v>0</v>
      </c>
      <c r="E6" s="51">
        <f t="shared" si="0"/>
        <v>0</v>
      </c>
      <c r="F6" s="24"/>
      <c r="G6" s="24"/>
      <c r="H6" s="22"/>
      <c r="I6" s="24"/>
      <c r="J6" s="24"/>
      <c r="K6" s="22"/>
      <c r="L6" s="24"/>
      <c r="M6" s="24"/>
      <c r="N6" s="22"/>
      <c r="O6" s="22"/>
      <c r="P6" s="22"/>
      <c r="Q6" s="23"/>
      <c r="R6" s="20"/>
      <c r="S6" s="20"/>
      <c r="T6" s="20"/>
      <c r="U6" s="20"/>
      <c r="V6" s="20"/>
      <c r="W6" s="20"/>
      <c r="X6" s="20"/>
      <c r="Y6" s="20"/>
      <c r="Z6" s="20"/>
    </row>
    <row r="7" spans="1:26" ht="12" customHeight="1" x14ac:dyDescent="0.25">
      <c r="A7" s="51" t="s">
        <v>362</v>
      </c>
      <c r="B7" s="51">
        <f t="shared" ref="B7:E7" si="1">COUNTIF($I$12:$I$1005,B$5)</f>
        <v>14</v>
      </c>
      <c r="C7" s="51">
        <f t="shared" si="1"/>
        <v>0</v>
      </c>
      <c r="D7" s="51">
        <f t="shared" si="1"/>
        <v>0</v>
      </c>
      <c r="E7" s="51">
        <f t="shared" si="1"/>
        <v>0</v>
      </c>
      <c r="F7" s="24"/>
      <c r="G7" s="24"/>
      <c r="H7" s="22"/>
      <c r="I7" s="24"/>
      <c r="J7" s="24"/>
      <c r="K7" s="22"/>
      <c r="L7" s="24"/>
      <c r="M7" s="24"/>
      <c r="N7" s="22"/>
      <c r="O7" s="22"/>
      <c r="P7" s="22"/>
      <c r="Q7" s="23"/>
      <c r="R7" s="20"/>
      <c r="S7" s="20"/>
      <c r="T7" s="20"/>
      <c r="U7" s="20"/>
      <c r="V7" s="20"/>
      <c r="W7" s="20"/>
      <c r="X7" s="20"/>
      <c r="Y7" s="20"/>
      <c r="Z7" s="20"/>
    </row>
    <row r="8" spans="1:26" ht="12" customHeight="1" x14ac:dyDescent="0.25">
      <c r="A8" s="51" t="s">
        <v>363</v>
      </c>
      <c r="B8" s="51">
        <f t="shared" ref="B8:E8" si="2">COUNTIF($L$12:$L$1005,B$5)</f>
        <v>14</v>
      </c>
      <c r="C8" s="51">
        <f t="shared" si="2"/>
        <v>0</v>
      </c>
      <c r="D8" s="51">
        <f t="shared" si="2"/>
        <v>0</v>
      </c>
      <c r="E8" s="51">
        <f t="shared" si="2"/>
        <v>0</v>
      </c>
      <c r="F8" s="24"/>
      <c r="G8" s="24"/>
      <c r="H8" s="22"/>
      <c r="I8" s="24"/>
      <c r="J8" s="24"/>
      <c r="K8" s="22"/>
      <c r="L8" s="24"/>
      <c r="M8" s="24"/>
      <c r="N8" s="22"/>
      <c r="O8" s="22"/>
      <c r="P8" s="22"/>
      <c r="Q8" s="23"/>
      <c r="R8" s="20"/>
      <c r="S8" s="20"/>
      <c r="T8" s="20"/>
      <c r="U8" s="20"/>
      <c r="V8" s="20"/>
      <c r="W8" s="20"/>
      <c r="X8" s="20"/>
      <c r="Y8" s="20"/>
      <c r="Z8" s="20"/>
    </row>
    <row r="9" spans="1:26" ht="12" customHeight="1" x14ac:dyDescent="0.25">
      <c r="A9" s="22"/>
      <c r="B9" s="22"/>
      <c r="C9" s="22"/>
      <c r="D9" s="22"/>
      <c r="E9" s="22"/>
      <c r="F9" s="14"/>
      <c r="G9" s="22"/>
      <c r="H9" s="22"/>
      <c r="I9" s="14"/>
      <c r="J9" s="22"/>
      <c r="K9" s="22"/>
      <c r="L9" s="14"/>
      <c r="M9" s="22"/>
      <c r="N9" s="22"/>
      <c r="O9" s="22"/>
      <c r="P9" s="22"/>
      <c r="Q9" s="23"/>
      <c r="R9" s="20"/>
      <c r="S9" s="20"/>
      <c r="T9" s="20"/>
      <c r="U9" s="20"/>
      <c r="V9" s="20"/>
      <c r="W9" s="20"/>
      <c r="X9" s="20"/>
      <c r="Y9" s="20"/>
      <c r="Z9" s="20"/>
    </row>
    <row r="10" spans="1:26" ht="20.399999999999999" customHeight="1" x14ac:dyDescent="0.25">
      <c r="A10" s="54" t="s">
        <v>364</v>
      </c>
      <c r="B10" s="54" t="s">
        <v>365</v>
      </c>
      <c r="C10" s="54" t="s">
        <v>366</v>
      </c>
      <c r="D10" s="54" t="s">
        <v>367</v>
      </c>
      <c r="E10" s="54" t="s">
        <v>368</v>
      </c>
      <c r="F10" s="54" t="s">
        <v>361</v>
      </c>
      <c r="G10" s="54" t="s">
        <v>369</v>
      </c>
      <c r="H10" s="54" t="s">
        <v>370</v>
      </c>
      <c r="I10" s="54" t="s">
        <v>362</v>
      </c>
      <c r="J10" s="54" t="s">
        <v>369</v>
      </c>
      <c r="K10" s="54" t="s">
        <v>370</v>
      </c>
      <c r="L10" s="54" t="s">
        <v>363</v>
      </c>
      <c r="M10" s="54" t="s">
        <v>369</v>
      </c>
      <c r="N10" s="54" t="s">
        <v>370</v>
      </c>
      <c r="O10" s="54" t="s">
        <v>371</v>
      </c>
      <c r="P10" s="20"/>
      <c r="Q10" s="25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30" customHeight="1" x14ac:dyDescent="0.25">
      <c r="A11" s="55" t="s">
        <v>407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20"/>
      <c r="Q11" s="26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94.35" customHeight="1" x14ac:dyDescent="0.2">
      <c r="A12" s="56" t="s">
        <v>408</v>
      </c>
      <c r="B12" s="56" t="s">
        <v>155</v>
      </c>
      <c r="C12" s="56" t="s">
        <v>409</v>
      </c>
      <c r="D12" s="57" t="s">
        <v>156</v>
      </c>
      <c r="E12" s="57" t="s">
        <v>157</v>
      </c>
      <c r="F12" s="56" t="s">
        <v>24</v>
      </c>
      <c r="G12" s="63">
        <v>46235</v>
      </c>
      <c r="H12" s="56" t="s">
        <v>375</v>
      </c>
      <c r="I12" s="56" t="s">
        <v>24</v>
      </c>
      <c r="J12" s="63">
        <v>46242</v>
      </c>
      <c r="K12" s="56" t="s">
        <v>375</v>
      </c>
      <c r="L12" s="56" t="s">
        <v>24</v>
      </c>
      <c r="M12" s="63">
        <v>46249</v>
      </c>
      <c r="N12" s="56" t="s">
        <v>375</v>
      </c>
      <c r="O12" s="56"/>
      <c r="P12" s="27"/>
      <c r="Q12" s="28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94.35" customHeight="1" x14ac:dyDescent="0.25">
      <c r="A13" s="56" t="s">
        <v>410</v>
      </c>
      <c r="B13" s="56" t="s">
        <v>158</v>
      </c>
      <c r="C13" s="56" t="s">
        <v>411</v>
      </c>
      <c r="D13" s="57" t="s">
        <v>159</v>
      </c>
      <c r="E13" s="57" t="s">
        <v>160</v>
      </c>
      <c r="F13" s="56" t="s">
        <v>24</v>
      </c>
      <c r="G13" s="63">
        <v>46235</v>
      </c>
      <c r="H13" s="56" t="s">
        <v>375</v>
      </c>
      <c r="I13" s="56" t="s">
        <v>24</v>
      </c>
      <c r="J13" s="63">
        <v>46242</v>
      </c>
      <c r="K13" s="56" t="s">
        <v>375</v>
      </c>
      <c r="L13" s="56" t="s">
        <v>24</v>
      </c>
      <c r="M13" s="63">
        <v>46249</v>
      </c>
      <c r="N13" s="56" t="s">
        <v>375</v>
      </c>
      <c r="O13" s="56"/>
      <c r="P13" s="4"/>
      <c r="Q13" s="30"/>
      <c r="R13" s="4"/>
      <c r="S13" s="4"/>
      <c r="T13" s="4"/>
      <c r="U13" s="4"/>
      <c r="V13" s="4"/>
      <c r="W13" s="4"/>
      <c r="X13" s="4"/>
      <c r="Y13" s="4"/>
      <c r="Z13" s="4"/>
    </row>
    <row r="14" spans="1:26" ht="94.35" customHeight="1" x14ac:dyDescent="0.2">
      <c r="A14" s="56" t="s">
        <v>412</v>
      </c>
      <c r="B14" s="56" t="s">
        <v>161</v>
      </c>
      <c r="C14" s="56" t="s">
        <v>413</v>
      </c>
      <c r="D14" s="56" t="s">
        <v>162</v>
      </c>
      <c r="E14" s="56" t="s">
        <v>160</v>
      </c>
      <c r="F14" s="56" t="s">
        <v>24</v>
      </c>
      <c r="G14" s="72">
        <v>46235</v>
      </c>
      <c r="H14" s="56" t="s">
        <v>375</v>
      </c>
      <c r="I14" s="56" t="s">
        <v>24</v>
      </c>
      <c r="J14" s="72">
        <v>46242</v>
      </c>
      <c r="K14" s="56" t="s">
        <v>375</v>
      </c>
      <c r="L14" s="56" t="s">
        <v>24</v>
      </c>
      <c r="M14" s="72">
        <v>46249</v>
      </c>
      <c r="N14" s="56" t="s">
        <v>375</v>
      </c>
      <c r="O14" s="56"/>
      <c r="P14" s="35"/>
      <c r="Q14" s="36"/>
      <c r="R14" s="35"/>
      <c r="S14" s="35"/>
      <c r="T14" s="35"/>
      <c r="U14" s="35"/>
      <c r="V14" s="35"/>
      <c r="W14" s="35"/>
      <c r="X14" s="35"/>
      <c r="Y14" s="35"/>
      <c r="Z14" s="35"/>
    </row>
    <row r="15" spans="1:26" ht="94.35" customHeight="1" x14ac:dyDescent="0.25">
      <c r="A15" s="56" t="s">
        <v>414</v>
      </c>
      <c r="B15" s="56" t="s">
        <v>163</v>
      </c>
      <c r="C15" s="56" t="s">
        <v>415</v>
      </c>
      <c r="D15" s="57" t="s">
        <v>164</v>
      </c>
      <c r="E15" s="57" t="s">
        <v>165</v>
      </c>
      <c r="F15" s="56" t="s">
        <v>24</v>
      </c>
      <c r="G15" s="63">
        <v>46235</v>
      </c>
      <c r="H15" s="56" t="s">
        <v>375</v>
      </c>
      <c r="I15" s="56" t="s">
        <v>24</v>
      </c>
      <c r="J15" s="63">
        <v>46242</v>
      </c>
      <c r="K15" s="56" t="s">
        <v>375</v>
      </c>
      <c r="L15" s="56" t="s">
        <v>24</v>
      </c>
      <c r="M15" s="63">
        <v>46249</v>
      </c>
      <c r="N15" s="56" t="s">
        <v>375</v>
      </c>
      <c r="O15" s="56"/>
      <c r="P15" s="4"/>
      <c r="Q15" s="30"/>
      <c r="R15" s="4"/>
      <c r="S15" s="4"/>
      <c r="T15" s="4"/>
      <c r="U15" s="4"/>
      <c r="V15" s="4"/>
      <c r="W15" s="4"/>
      <c r="X15" s="4"/>
      <c r="Y15" s="4"/>
      <c r="Z15" s="4"/>
    </row>
    <row r="16" spans="1:26" ht="94.35" customHeight="1" x14ac:dyDescent="0.25">
      <c r="A16" s="58" t="s">
        <v>416</v>
      </c>
      <c r="B16" s="58" t="s">
        <v>188</v>
      </c>
      <c r="C16" s="58" t="s">
        <v>417</v>
      </c>
      <c r="D16" s="58" t="s">
        <v>189</v>
      </c>
      <c r="E16" s="58" t="s">
        <v>190</v>
      </c>
      <c r="F16" s="58" t="s">
        <v>24</v>
      </c>
      <c r="G16" s="64">
        <v>46235</v>
      </c>
      <c r="H16" s="58" t="s">
        <v>375</v>
      </c>
      <c r="I16" s="58" t="s">
        <v>24</v>
      </c>
      <c r="J16" s="64">
        <v>46242</v>
      </c>
      <c r="K16" s="58" t="s">
        <v>375</v>
      </c>
      <c r="L16" s="58" t="s">
        <v>24</v>
      </c>
      <c r="M16" s="64">
        <v>46249</v>
      </c>
      <c r="N16" s="58" t="s">
        <v>375</v>
      </c>
      <c r="O16" s="58"/>
      <c r="P16" s="20"/>
      <c r="Q16" s="26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94.35" customHeight="1" x14ac:dyDescent="0.25">
      <c r="A17" s="56" t="s">
        <v>418</v>
      </c>
      <c r="B17" s="56" t="s">
        <v>191</v>
      </c>
      <c r="C17" s="56" t="s">
        <v>419</v>
      </c>
      <c r="D17" s="57" t="s">
        <v>192</v>
      </c>
      <c r="E17" s="57" t="s">
        <v>193</v>
      </c>
      <c r="F17" s="56" t="s">
        <v>24</v>
      </c>
      <c r="G17" s="63">
        <v>46235</v>
      </c>
      <c r="H17" s="56" t="s">
        <v>375</v>
      </c>
      <c r="I17" s="56" t="s">
        <v>24</v>
      </c>
      <c r="J17" s="63">
        <v>46242</v>
      </c>
      <c r="K17" s="56" t="s">
        <v>375</v>
      </c>
      <c r="L17" s="56" t="s">
        <v>24</v>
      </c>
      <c r="M17" s="63">
        <v>46249</v>
      </c>
      <c r="N17" s="56" t="s">
        <v>375</v>
      </c>
      <c r="O17" s="56"/>
      <c r="P17" s="4"/>
      <c r="Q17" s="30"/>
      <c r="R17" s="4"/>
      <c r="S17" s="4"/>
      <c r="T17" s="4"/>
      <c r="U17" s="4"/>
      <c r="V17" s="4"/>
      <c r="W17" s="4"/>
      <c r="X17" s="4"/>
      <c r="Y17" s="4"/>
      <c r="Z17" s="4"/>
    </row>
    <row r="18" spans="1:26" ht="32.4" customHeight="1" x14ac:dyDescent="0.2">
      <c r="A18" s="60" t="s">
        <v>420</v>
      </c>
      <c r="B18" s="60"/>
      <c r="C18" s="60"/>
      <c r="D18" s="60"/>
      <c r="E18" s="60"/>
      <c r="F18" s="60"/>
      <c r="G18" s="73"/>
      <c r="H18" s="60"/>
      <c r="I18" s="60"/>
      <c r="J18" s="73"/>
      <c r="K18" s="60"/>
      <c r="L18" s="60"/>
      <c r="M18" s="73"/>
      <c r="N18" s="60"/>
      <c r="O18" s="60"/>
      <c r="P18" s="35"/>
      <c r="Q18" s="36"/>
      <c r="R18" s="35"/>
      <c r="S18" s="35"/>
      <c r="T18" s="35"/>
      <c r="U18" s="35"/>
      <c r="V18" s="35"/>
      <c r="W18" s="35"/>
      <c r="X18" s="35"/>
      <c r="Y18" s="35"/>
      <c r="Z18" s="35"/>
    </row>
    <row r="19" spans="1:26" ht="94.35" customHeight="1" x14ac:dyDescent="0.25">
      <c r="A19" s="56" t="s">
        <v>421</v>
      </c>
      <c r="B19" s="56" t="s">
        <v>166</v>
      </c>
      <c r="C19" s="56" t="s">
        <v>422</v>
      </c>
      <c r="D19" s="56" t="s">
        <v>167</v>
      </c>
      <c r="E19" s="57" t="s">
        <v>168</v>
      </c>
      <c r="F19" s="56" t="s">
        <v>24</v>
      </c>
      <c r="G19" s="63">
        <v>46235</v>
      </c>
      <c r="H19" s="56" t="s">
        <v>375</v>
      </c>
      <c r="I19" s="56" t="s">
        <v>24</v>
      </c>
      <c r="J19" s="63">
        <v>46242</v>
      </c>
      <c r="K19" s="56" t="s">
        <v>375</v>
      </c>
      <c r="L19" s="56" t="s">
        <v>24</v>
      </c>
      <c r="M19" s="63">
        <v>46249</v>
      </c>
      <c r="N19" s="56" t="s">
        <v>375</v>
      </c>
      <c r="O19" s="56"/>
      <c r="P19" s="4"/>
      <c r="Q19" s="30"/>
      <c r="R19" s="4"/>
      <c r="S19" s="4"/>
      <c r="T19" s="4"/>
      <c r="U19" s="4"/>
      <c r="V19" s="4"/>
      <c r="W19" s="4"/>
      <c r="X19" s="4"/>
      <c r="Y19" s="4"/>
      <c r="Z19" s="4"/>
    </row>
    <row r="20" spans="1:26" ht="94.35" customHeight="1" x14ac:dyDescent="0.25">
      <c r="A20" s="56" t="s">
        <v>423</v>
      </c>
      <c r="B20" s="56" t="s">
        <v>171</v>
      </c>
      <c r="C20" s="56" t="s">
        <v>424</v>
      </c>
      <c r="D20" s="56" t="s">
        <v>172</v>
      </c>
      <c r="E20" s="56" t="s">
        <v>168</v>
      </c>
      <c r="F20" s="56" t="s">
        <v>24</v>
      </c>
      <c r="G20" s="63">
        <v>46235</v>
      </c>
      <c r="H20" s="56" t="s">
        <v>375</v>
      </c>
      <c r="I20" s="56" t="s">
        <v>24</v>
      </c>
      <c r="J20" s="63">
        <v>46242</v>
      </c>
      <c r="K20" s="56" t="s">
        <v>375</v>
      </c>
      <c r="L20" s="56" t="s">
        <v>24</v>
      </c>
      <c r="M20" s="63">
        <v>46249</v>
      </c>
      <c r="N20" s="56" t="s">
        <v>375</v>
      </c>
      <c r="O20" s="59"/>
      <c r="P20" s="32"/>
      <c r="Q20" s="15"/>
      <c r="R20" s="4"/>
      <c r="S20" s="4"/>
      <c r="T20" s="4"/>
      <c r="U20" s="4"/>
      <c r="V20" s="4"/>
      <c r="W20" s="4"/>
      <c r="X20" s="4"/>
      <c r="Y20" s="4"/>
      <c r="Z20" s="4"/>
    </row>
    <row r="21" spans="1:26" ht="94.35" customHeight="1" x14ac:dyDescent="0.25">
      <c r="A21" s="58" t="s">
        <v>425</v>
      </c>
      <c r="B21" s="58" t="s">
        <v>173</v>
      </c>
      <c r="C21" s="58" t="s">
        <v>426</v>
      </c>
      <c r="D21" s="58" t="s">
        <v>174</v>
      </c>
      <c r="E21" s="58" t="s">
        <v>175</v>
      </c>
      <c r="F21" s="58" t="s">
        <v>24</v>
      </c>
      <c r="G21" s="64">
        <v>46235</v>
      </c>
      <c r="H21" s="58" t="s">
        <v>375</v>
      </c>
      <c r="I21" s="58" t="s">
        <v>24</v>
      </c>
      <c r="J21" s="64">
        <v>46242</v>
      </c>
      <c r="K21" s="58" t="s">
        <v>375</v>
      </c>
      <c r="L21" s="58" t="s">
        <v>24</v>
      </c>
      <c r="M21" s="64">
        <v>46249</v>
      </c>
      <c r="N21" s="58" t="s">
        <v>375</v>
      </c>
      <c r="O21" s="58"/>
      <c r="P21" s="20"/>
      <c r="Q21" s="26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94.35" customHeight="1" x14ac:dyDescent="0.25">
      <c r="A22" s="56" t="s">
        <v>427</v>
      </c>
      <c r="B22" s="56" t="s">
        <v>176</v>
      </c>
      <c r="C22" s="56" t="s">
        <v>428</v>
      </c>
      <c r="D22" s="57" t="s">
        <v>177</v>
      </c>
      <c r="E22" s="57" t="s">
        <v>178</v>
      </c>
      <c r="F22" s="56" t="s">
        <v>24</v>
      </c>
      <c r="G22" s="63">
        <v>46235</v>
      </c>
      <c r="H22" s="56" t="s">
        <v>375</v>
      </c>
      <c r="I22" s="56" t="s">
        <v>24</v>
      </c>
      <c r="J22" s="63">
        <v>46242</v>
      </c>
      <c r="K22" s="56" t="s">
        <v>375</v>
      </c>
      <c r="L22" s="56" t="s">
        <v>24</v>
      </c>
      <c r="M22" s="63">
        <v>46249</v>
      </c>
      <c r="N22" s="56" t="s">
        <v>375</v>
      </c>
      <c r="O22" s="56"/>
      <c r="P22" s="4"/>
      <c r="Q22" s="30"/>
      <c r="R22" s="4"/>
      <c r="S22" s="4"/>
      <c r="T22" s="4"/>
      <c r="U22" s="4"/>
      <c r="V22" s="4"/>
      <c r="W22" s="4"/>
      <c r="X22" s="4"/>
      <c r="Y22" s="4"/>
      <c r="Z22" s="4"/>
    </row>
    <row r="23" spans="1:26" ht="94.35" customHeight="1" x14ac:dyDescent="0.25">
      <c r="A23" s="56" t="s">
        <v>429</v>
      </c>
      <c r="B23" s="56" t="s">
        <v>179</v>
      </c>
      <c r="C23" s="56" t="s">
        <v>430</v>
      </c>
      <c r="D23" s="57" t="s">
        <v>180</v>
      </c>
      <c r="E23" s="57" t="s">
        <v>181</v>
      </c>
      <c r="F23" s="56" t="s">
        <v>24</v>
      </c>
      <c r="G23" s="63">
        <v>46235</v>
      </c>
      <c r="H23" s="56" t="s">
        <v>375</v>
      </c>
      <c r="I23" s="56" t="s">
        <v>24</v>
      </c>
      <c r="J23" s="63">
        <v>46242</v>
      </c>
      <c r="K23" s="56" t="s">
        <v>375</v>
      </c>
      <c r="L23" s="56" t="s">
        <v>24</v>
      </c>
      <c r="M23" s="63">
        <v>46249</v>
      </c>
      <c r="N23" s="56" t="s">
        <v>375</v>
      </c>
      <c r="O23" s="56"/>
      <c r="P23" s="4"/>
      <c r="Q23" s="30"/>
      <c r="R23" s="4"/>
      <c r="S23" s="4"/>
      <c r="T23" s="4"/>
      <c r="U23" s="4"/>
      <c r="V23" s="4"/>
      <c r="W23" s="4"/>
      <c r="X23" s="4"/>
      <c r="Y23" s="4"/>
      <c r="Z23" s="4"/>
    </row>
    <row r="24" spans="1:26" ht="46.2" customHeight="1" x14ac:dyDescent="0.25">
      <c r="A24" s="55" t="s">
        <v>431</v>
      </c>
      <c r="B24" s="55"/>
      <c r="C24" s="55"/>
      <c r="D24" s="55"/>
      <c r="E24" s="55"/>
      <c r="F24" s="55"/>
      <c r="G24" s="74"/>
      <c r="H24" s="55"/>
      <c r="I24" s="55"/>
      <c r="J24" s="74"/>
      <c r="K24" s="55"/>
      <c r="L24" s="55"/>
      <c r="M24" s="74"/>
      <c r="N24" s="55"/>
      <c r="O24" s="55"/>
      <c r="P24" s="20"/>
      <c r="Q24" s="26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94.35" customHeight="1" x14ac:dyDescent="0.25">
      <c r="A25" s="56" t="s">
        <v>432</v>
      </c>
      <c r="B25" s="56" t="s">
        <v>169</v>
      </c>
      <c r="C25" s="56" t="s">
        <v>433</v>
      </c>
      <c r="D25" s="57" t="s">
        <v>170</v>
      </c>
      <c r="E25" s="57" t="s">
        <v>168</v>
      </c>
      <c r="F25" s="56" t="s">
        <v>24</v>
      </c>
      <c r="G25" s="63">
        <v>46235</v>
      </c>
      <c r="H25" s="56" t="s">
        <v>375</v>
      </c>
      <c r="I25" s="56" t="s">
        <v>24</v>
      </c>
      <c r="J25" s="63">
        <v>46242</v>
      </c>
      <c r="K25" s="56" t="s">
        <v>375</v>
      </c>
      <c r="L25" s="56" t="s">
        <v>24</v>
      </c>
      <c r="M25" s="63">
        <v>46249</v>
      </c>
      <c r="N25" s="56" t="s">
        <v>375</v>
      </c>
      <c r="O25" s="56"/>
      <c r="P25" s="4"/>
      <c r="Q25" s="30"/>
      <c r="R25" s="4"/>
      <c r="S25" s="4"/>
      <c r="T25" s="4"/>
      <c r="U25" s="4"/>
      <c r="V25" s="4"/>
      <c r="W25" s="4"/>
      <c r="X25" s="4"/>
      <c r="Y25" s="4"/>
      <c r="Z25" s="4"/>
    </row>
    <row r="26" spans="1:26" ht="94.35" customHeight="1" x14ac:dyDescent="0.25">
      <c r="A26" s="56" t="s">
        <v>434</v>
      </c>
      <c r="B26" s="56" t="s">
        <v>182</v>
      </c>
      <c r="C26" s="56" t="s">
        <v>435</v>
      </c>
      <c r="D26" s="57" t="s">
        <v>183</v>
      </c>
      <c r="E26" s="57" t="s">
        <v>184</v>
      </c>
      <c r="F26" s="56" t="s">
        <v>24</v>
      </c>
      <c r="G26" s="63">
        <v>46235</v>
      </c>
      <c r="H26" s="56" t="s">
        <v>375</v>
      </c>
      <c r="I26" s="56" t="s">
        <v>24</v>
      </c>
      <c r="J26" s="63">
        <v>46242</v>
      </c>
      <c r="K26" s="56" t="s">
        <v>375</v>
      </c>
      <c r="L26" s="56" t="s">
        <v>24</v>
      </c>
      <c r="M26" s="63">
        <v>46249</v>
      </c>
      <c r="N26" s="56" t="s">
        <v>375</v>
      </c>
      <c r="O26" s="56"/>
      <c r="P26" s="4"/>
      <c r="Q26" s="30"/>
      <c r="R26" s="4"/>
      <c r="S26" s="4"/>
      <c r="T26" s="4"/>
      <c r="U26" s="4"/>
      <c r="V26" s="4"/>
      <c r="W26" s="4"/>
      <c r="X26" s="4"/>
      <c r="Y26" s="4"/>
      <c r="Z26" s="4"/>
    </row>
    <row r="27" spans="1:26" ht="94.35" customHeight="1" x14ac:dyDescent="0.25">
      <c r="A27" s="58" t="s">
        <v>436</v>
      </c>
      <c r="B27" s="58" t="s">
        <v>185</v>
      </c>
      <c r="C27" s="58" t="s">
        <v>437</v>
      </c>
      <c r="D27" s="58" t="s">
        <v>186</v>
      </c>
      <c r="E27" s="58" t="s">
        <v>187</v>
      </c>
      <c r="F27" s="58" t="s">
        <v>24</v>
      </c>
      <c r="G27" s="64">
        <v>46235</v>
      </c>
      <c r="H27" s="58" t="s">
        <v>375</v>
      </c>
      <c r="I27" s="58" t="s">
        <v>24</v>
      </c>
      <c r="J27" s="64">
        <v>46242</v>
      </c>
      <c r="K27" s="58" t="s">
        <v>375</v>
      </c>
      <c r="L27" s="58" t="s">
        <v>24</v>
      </c>
      <c r="M27" s="64">
        <v>46249</v>
      </c>
      <c r="N27" s="58" t="s">
        <v>375</v>
      </c>
      <c r="O27" s="58"/>
      <c r="P27" s="20"/>
      <c r="Q27" s="26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94.35" customHeight="1" x14ac:dyDescent="0.2">
      <c r="A28" s="29"/>
      <c r="B28" s="29"/>
      <c r="C28" s="29"/>
      <c r="D28" s="29"/>
      <c r="E28" s="29"/>
      <c r="F28" s="29"/>
      <c r="G28" s="33"/>
      <c r="H28" s="29"/>
      <c r="I28" s="29"/>
      <c r="J28" s="34"/>
      <c r="K28" s="29"/>
      <c r="L28" s="29"/>
      <c r="M28" s="34"/>
      <c r="N28" s="29"/>
      <c r="O28" s="133"/>
      <c r="P28" s="35"/>
      <c r="Q28" s="36"/>
      <c r="R28" s="35"/>
      <c r="S28" s="35"/>
      <c r="T28" s="35"/>
      <c r="U28" s="35"/>
      <c r="V28" s="35"/>
      <c r="W28" s="35"/>
      <c r="X28" s="35"/>
      <c r="Y28" s="35"/>
      <c r="Z28" s="35"/>
    </row>
    <row r="29" spans="1:26" ht="94.35" customHeight="1" x14ac:dyDescent="0.2">
      <c r="A29" s="29"/>
      <c r="B29" s="29"/>
      <c r="C29" s="29"/>
      <c r="D29" s="29"/>
      <c r="E29" s="29"/>
      <c r="F29" s="29"/>
      <c r="G29" s="33"/>
      <c r="H29" s="29"/>
      <c r="I29" s="29"/>
      <c r="J29" s="34"/>
      <c r="K29" s="29"/>
      <c r="L29" s="29"/>
      <c r="M29" s="34"/>
      <c r="N29" s="29"/>
      <c r="O29" s="133"/>
      <c r="P29" s="35"/>
      <c r="Q29" s="36"/>
      <c r="R29" s="35"/>
      <c r="S29" s="35"/>
      <c r="T29" s="35"/>
      <c r="U29" s="35"/>
      <c r="V29" s="35"/>
      <c r="W29" s="35"/>
      <c r="X29" s="35"/>
      <c r="Y29" s="35"/>
      <c r="Z29" s="35"/>
    </row>
    <row r="30" spans="1:26" ht="94.35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4"/>
      <c r="Q30" s="15"/>
      <c r="R30" s="4"/>
      <c r="S30" s="4"/>
      <c r="T30" s="4"/>
      <c r="U30" s="4"/>
      <c r="V30" s="4"/>
      <c r="W30" s="4"/>
      <c r="X30" s="4"/>
      <c r="Y30" s="4"/>
      <c r="Z30" s="4"/>
    </row>
    <row r="31" spans="1:26" ht="94.3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4"/>
      <c r="Q31" s="15"/>
      <c r="R31" s="4"/>
      <c r="S31" s="4"/>
      <c r="T31" s="4"/>
      <c r="U31" s="4"/>
      <c r="V31" s="4"/>
      <c r="W31" s="4"/>
      <c r="X31" s="4"/>
      <c r="Y31" s="4"/>
      <c r="Z31" s="4"/>
    </row>
    <row r="32" spans="1:26" ht="94.3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4"/>
      <c r="Q32" s="15"/>
      <c r="R32" s="4"/>
      <c r="S32" s="4"/>
      <c r="T32" s="4"/>
      <c r="U32" s="4"/>
      <c r="V32" s="4"/>
      <c r="W32" s="4"/>
      <c r="X32" s="4"/>
      <c r="Y32" s="4"/>
      <c r="Z32" s="4"/>
    </row>
    <row r="33" spans="1:26" ht="94.3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4"/>
      <c r="Q33" s="15"/>
      <c r="R33" s="4"/>
      <c r="S33" s="4"/>
      <c r="T33" s="4"/>
      <c r="U33" s="4"/>
      <c r="V33" s="4"/>
      <c r="W33" s="4"/>
      <c r="X33" s="4"/>
      <c r="Y33" s="4"/>
      <c r="Z33" s="4"/>
    </row>
    <row r="34" spans="1:26" ht="94.3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4"/>
      <c r="Q34" s="15"/>
      <c r="R34" s="4"/>
      <c r="S34" s="4"/>
      <c r="T34" s="4"/>
      <c r="U34" s="4"/>
      <c r="V34" s="4"/>
      <c r="W34" s="4"/>
      <c r="X34" s="4"/>
      <c r="Y34" s="4"/>
      <c r="Z34" s="4"/>
    </row>
    <row r="35" spans="1:26" ht="94.3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4"/>
      <c r="Q35" s="15"/>
      <c r="R35" s="4"/>
      <c r="S35" s="4"/>
      <c r="T35" s="4"/>
      <c r="U35" s="4"/>
      <c r="V35" s="4"/>
      <c r="W35" s="4"/>
      <c r="X35" s="4"/>
      <c r="Y35" s="4"/>
      <c r="Z35" s="4"/>
    </row>
    <row r="36" spans="1:26" ht="94.35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4"/>
      <c r="Q36" s="15"/>
      <c r="R36" s="4"/>
      <c r="S36" s="4"/>
      <c r="T36" s="4"/>
      <c r="U36" s="4"/>
      <c r="V36" s="4"/>
      <c r="W36" s="4"/>
      <c r="X36" s="4"/>
      <c r="Y36" s="4"/>
      <c r="Z36" s="4"/>
    </row>
    <row r="37" spans="1:26" ht="94.35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4"/>
      <c r="Q37" s="15"/>
      <c r="R37" s="4"/>
      <c r="S37" s="4"/>
      <c r="T37" s="4"/>
      <c r="U37" s="4"/>
      <c r="V37" s="4"/>
      <c r="W37" s="4"/>
      <c r="X37" s="4"/>
      <c r="Y37" s="4"/>
      <c r="Z37" s="4"/>
    </row>
    <row r="38" spans="1:26" ht="94.35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4"/>
      <c r="Q38" s="15"/>
      <c r="R38" s="4"/>
      <c r="S38" s="4"/>
      <c r="T38" s="4"/>
      <c r="U38" s="4"/>
      <c r="V38" s="4"/>
      <c r="W38" s="4"/>
      <c r="X38" s="4"/>
      <c r="Y38" s="4"/>
      <c r="Z38" s="4"/>
    </row>
    <row r="39" spans="1:26" ht="94.3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4"/>
      <c r="Q39" s="15"/>
      <c r="R39" s="4"/>
      <c r="S39" s="4"/>
      <c r="T39" s="4"/>
      <c r="U39" s="4"/>
      <c r="V39" s="4"/>
      <c r="W39" s="4"/>
      <c r="X39" s="4"/>
      <c r="Y39" s="4"/>
      <c r="Z39" s="4"/>
    </row>
    <row r="40" spans="1:26" ht="94.3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4"/>
      <c r="Q40" s="15"/>
      <c r="R40" s="4"/>
      <c r="S40" s="4"/>
      <c r="T40" s="4"/>
      <c r="U40" s="4"/>
      <c r="V40" s="4"/>
      <c r="W40" s="4"/>
      <c r="X40" s="4"/>
      <c r="Y40" s="4"/>
      <c r="Z40" s="4"/>
    </row>
    <row r="41" spans="1:26" ht="94.3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4"/>
      <c r="Q41" s="15"/>
      <c r="R41" s="4"/>
      <c r="S41" s="4"/>
      <c r="T41" s="4"/>
      <c r="U41" s="4"/>
      <c r="V41" s="4"/>
      <c r="W41" s="4"/>
      <c r="X41" s="4"/>
      <c r="Y41" s="4"/>
      <c r="Z41" s="4"/>
    </row>
    <row r="42" spans="1:26" ht="94.3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4"/>
      <c r="Q42" s="15"/>
      <c r="R42" s="4"/>
      <c r="S42" s="4"/>
      <c r="T42" s="4"/>
      <c r="U42" s="4"/>
      <c r="V42" s="4"/>
      <c r="W42" s="4"/>
      <c r="X42" s="4"/>
      <c r="Y42" s="4"/>
      <c r="Z42" s="4"/>
    </row>
    <row r="43" spans="1:26" ht="94.35" customHeight="1" x14ac:dyDescent="0.2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4"/>
      <c r="Q43" s="15"/>
      <c r="R43" s="4"/>
      <c r="S43" s="4"/>
      <c r="T43" s="4"/>
      <c r="U43" s="4"/>
      <c r="V43" s="4"/>
      <c r="W43" s="4"/>
      <c r="X43" s="4"/>
      <c r="Y43" s="4"/>
      <c r="Z43" s="4"/>
    </row>
    <row r="44" spans="1:26" ht="94.35" customHeight="1" x14ac:dyDescent="0.2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4"/>
      <c r="Q44" s="15"/>
      <c r="R44" s="4"/>
      <c r="S44" s="4"/>
      <c r="T44" s="4"/>
      <c r="U44" s="4"/>
      <c r="V44" s="4"/>
      <c r="W44" s="4"/>
      <c r="X44" s="4"/>
      <c r="Y44" s="4"/>
      <c r="Z44" s="4"/>
    </row>
    <row r="45" spans="1:26" ht="94.35" customHeight="1" x14ac:dyDescent="0.2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4"/>
      <c r="Q45" s="15"/>
      <c r="R45" s="4"/>
      <c r="S45" s="4"/>
      <c r="T45" s="4"/>
      <c r="U45" s="4"/>
      <c r="V45" s="4"/>
      <c r="W45" s="4"/>
      <c r="X45" s="4"/>
      <c r="Y45" s="4"/>
      <c r="Z45" s="4"/>
    </row>
    <row r="46" spans="1:26" ht="94.35" customHeight="1" x14ac:dyDescent="0.2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4"/>
      <c r="Q46" s="15"/>
      <c r="R46" s="4"/>
      <c r="S46" s="4"/>
      <c r="T46" s="4"/>
      <c r="U46" s="4"/>
      <c r="V46" s="4"/>
      <c r="W46" s="4"/>
      <c r="X46" s="4"/>
      <c r="Y46" s="4"/>
      <c r="Z46" s="4"/>
    </row>
    <row r="47" spans="1:26" ht="94.35" customHeight="1" x14ac:dyDescent="0.2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4"/>
      <c r="Q47" s="15"/>
      <c r="R47" s="4"/>
      <c r="S47" s="4"/>
      <c r="T47" s="4"/>
      <c r="U47" s="4"/>
      <c r="V47" s="4"/>
      <c r="W47" s="4"/>
      <c r="X47" s="4"/>
      <c r="Y47" s="4"/>
      <c r="Z47" s="4"/>
    </row>
    <row r="48" spans="1:26" ht="94.35" customHeight="1" x14ac:dyDescent="0.2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4"/>
      <c r="Q48" s="15"/>
      <c r="R48" s="4"/>
      <c r="S48" s="4"/>
      <c r="T48" s="4"/>
      <c r="U48" s="4"/>
      <c r="V48" s="4"/>
      <c r="W48" s="4"/>
      <c r="X48" s="4"/>
      <c r="Y48" s="4"/>
      <c r="Z48" s="4"/>
    </row>
    <row r="49" spans="1:26" ht="94.35" customHeight="1" x14ac:dyDescent="0.2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4"/>
      <c r="Q49" s="15"/>
      <c r="R49" s="4"/>
      <c r="S49" s="4"/>
      <c r="T49" s="4"/>
      <c r="U49" s="4"/>
      <c r="V49" s="4"/>
      <c r="W49" s="4"/>
      <c r="X49" s="4"/>
      <c r="Y49" s="4"/>
      <c r="Z49" s="4"/>
    </row>
    <row r="50" spans="1:26" ht="94.35" customHeight="1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4"/>
      <c r="Q50" s="15"/>
      <c r="R50" s="4"/>
      <c r="S50" s="4"/>
      <c r="T50" s="4"/>
      <c r="U50" s="4"/>
      <c r="V50" s="4"/>
      <c r="W50" s="4"/>
      <c r="X50" s="4"/>
      <c r="Y50" s="4"/>
      <c r="Z50" s="4"/>
    </row>
    <row r="51" spans="1:26" ht="94.35" customHeight="1" x14ac:dyDescent="0.2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4"/>
      <c r="Q51" s="15"/>
      <c r="R51" s="4"/>
      <c r="S51" s="4"/>
      <c r="T51" s="4"/>
      <c r="U51" s="4"/>
      <c r="V51" s="4"/>
      <c r="W51" s="4"/>
      <c r="X51" s="4"/>
      <c r="Y51" s="4"/>
      <c r="Z51" s="4"/>
    </row>
    <row r="52" spans="1:26" ht="94.35" customHeight="1" x14ac:dyDescent="0.2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4"/>
      <c r="Q52" s="15"/>
      <c r="R52" s="4"/>
      <c r="S52" s="4"/>
      <c r="T52" s="4"/>
      <c r="U52" s="4"/>
      <c r="V52" s="4"/>
      <c r="W52" s="4"/>
      <c r="X52" s="4"/>
      <c r="Y52" s="4"/>
      <c r="Z52" s="4"/>
    </row>
    <row r="53" spans="1:26" ht="94.35" customHeight="1" x14ac:dyDescent="0.2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4"/>
      <c r="Q53" s="15"/>
      <c r="R53" s="4"/>
      <c r="S53" s="4"/>
      <c r="T53" s="4"/>
      <c r="U53" s="4"/>
      <c r="V53" s="4"/>
      <c r="W53" s="4"/>
      <c r="X53" s="4"/>
      <c r="Y53" s="4"/>
      <c r="Z53" s="4"/>
    </row>
    <row r="54" spans="1:26" ht="94.35" customHeight="1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4"/>
      <c r="Q54" s="15"/>
      <c r="R54" s="4"/>
      <c r="S54" s="4"/>
      <c r="T54" s="4"/>
      <c r="U54" s="4"/>
      <c r="V54" s="4"/>
      <c r="W54" s="4"/>
      <c r="X54" s="4"/>
      <c r="Y54" s="4"/>
      <c r="Z54" s="4"/>
    </row>
    <row r="55" spans="1:26" ht="94.35" customHeight="1" x14ac:dyDescent="0.2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4"/>
      <c r="Q55" s="15"/>
      <c r="R55" s="4"/>
      <c r="S55" s="4"/>
      <c r="T55" s="4"/>
      <c r="U55" s="4"/>
      <c r="V55" s="4"/>
      <c r="W55" s="4"/>
      <c r="X55" s="4"/>
      <c r="Y55" s="4"/>
      <c r="Z55" s="4"/>
    </row>
    <row r="56" spans="1:26" ht="94.35" customHeight="1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4"/>
      <c r="Q56" s="15"/>
      <c r="R56" s="4"/>
      <c r="S56" s="4"/>
      <c r="T56" s="4"/>
      <c r="U56" s="4"/>
      <c r="V56" s="4"/>
      <c r="W56" s="4"/>
      <c r="X56" s="4"/>
      <c r="Y56" s="4"/>
      <c r="Z56" s="4"/>
    </row>
    <row r="57" spans="1:26" ht="94.35" customHeight="1" x14ac:dyDescent="0.2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4"/>
      <c r="Q57" s="15"/>
      <c r="R57" s="4"/>
      <c r="S57" s="4"/>
      <c r="T57" s="4"/>
      <c r="U57" s="4"/>
      <c r="V57" s="4"/>
      <c r="W57" s="4"/>
      <c r="X57" s="4"/>
      <c r="Y57" s="4"/>
      <c r="Z57" s="4"/>
    </row>
    <row r="58" spans="1:26" ht="94.35" customHeight="1" x14ac:dyDescent="0.2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4"/>
      <c r="Q58" s="15"/>
      <c r="R58" s="4"/>
      <c r="S58" s="4"/>
      <c r="T58" s="4"/>
      <c r="U58" s="4"/>
      <c r="V58" s="4"/>
      <c r="W58" s="4"/>
      <c r="X58" s="4"/>
      <c r="Y58" s="4"/>
      <c r="Z58" s="4"/>
    </row>
    <row r="59" spans="1:26" ht="94.35" customHeight="1" x14ac:dyDescent="0.2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4"/>
      <c r="Q59" s="15"/>
      <c r="R59" s="4"/>
      <c r="S59" s="4"/>
      <c r="T59" s="4"/>
      <c r="U59" s="4"/>
      <c r="V59" s="4"/>
      <c r="W59" s="4"/>
      <c r="X59" s="4"/>
      <c r="Y59" s="4"/>
      <c r="Z59" s="4"/>
    </row>
    <row r="60" spans="1:26" ht="94.35" customHeight="1" x14ac:dyDescent="0.2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4"/>
      <c r="Q60" s="15"/>
      <c r="R60" s="4"/>
      <c r="S60" s="4"/>
      <c r="T60" s="4"/>
      <c r="U60" s="4"/>
      <c r="V60" s="4"/>
      <c r="W60" s="4"/>
      <c r="X60" s="4"/>
      <c r="Y60" s="4"/>
      <c r="Z60" s="4"/>
    </row>
    <row r="61" spans="1:26" ht="94.35" customHeight="1" x14ac:dyDescent="0.2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4"/>
      <c r="Q61" s="15"/>
      <c r="R61" s="4"/>
      <c r="S61" s="4"/>
      <c r="T61" s="4"/>
      <c r="U61" s="4"/>
      <c r="V61" s="4"/>
      <c r="W61" s="4"/>
      <c r="X61" s="4"/>
      <c r="Y61" s="4"/>
      <c r="Z61" s="4"/>
    </row>
    <row r="62" spans="1:26" ht="94.35" customHeight="1" x14ac:dyDescent="0.2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4"/>
      <c r="Q62" s="15"/>
      <c r="R62" s="4"/>
      <c r="S62" s="4"/>
      <c r="T62" s="4"/>
      <c r="U62" s="4"/>
      <c r="V62" s="4"/>
      <c r="W62" s="4"/>
      <c r="X62" s="4"/>
      <c r="Y62" s="4"/>
      <c r="Z62" s="4"/>
    </row>
    <row r="63" spans="1:26" ht="94.35" customHeight="1" x14ac:dyDescent="0.2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4"/>
      <c r="Q63" s="15"/>
      <c r="R63" s="4"/>
      <c r="S63" s="4"/>
      <c r="T63" s="4"/>
      <c r="U63" s="4"/>
      <c r="V63" s="4"/>
      <c r="W63" s="4"/>
      <c r="X63" s="4"/>
      <c r="Y63" s="4"/>
      <c r="Z63" s="4"/>
    </row>
    <row r="64" spans="1:26" ht="94.35" customHeight="1" x14ac:dyDescent="0.2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4"/>
      <c r="Q64" s="15"/>
      <c r="R64" s="4"/>
      <c r="S64" s="4"/>
      <c r="T64" s="4"/>
      <c r="U64" s="4"/>
      <c r="V64" s="4"/>
      <c r="W64" s="4"/>
      <c r="X64" s="4"/>
      <c r="Y64" s="4"/>
      <c r="Z64" s="4"/>
    </row>
    <row r="65" spans="1:26" ht="94.35" customHeight="1" x14ac:dyDescent="0.2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4"/>
      <c r="Q65" s="15"/>
      <c r="R65" s="4"/>
      <c r="S65" s="4"/>
      <c r="T65" s="4"/>
      <c r="U65" s="4"/>
      <c r="V65" s="4"/>
      <c r="W65" s="4"/>
      <c r="X65" s="4"/>
      <c r="Y65" s="4"/>
      <c r="Z65" s="4"/>
    </row>
    <row r="66" spans="1:26" ht="94.35" customHeight="1" x14ac:dyDescent="0.2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4"/>
      <c r="Q66" s="15"/>
      <c r="R66" s="4"/>
      <c r="S66" s="4"/>
      <c r="T66" s="4"/>
      <c r="U66" s="4"/>
      <c r="V66" s="4"/>
      <c r="W66" s="4"/>
      <c r="X66" s="4"/>
      <c r="Y66" s="4"/>
      <c r="Z66" s="4"/>
    </row>
    <row r="67" spans="1:26" ht="94.35" customHeight="1" x14ac:dyDescent="0.2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4"/>
      <c r="Q67" s="15"/>
      <c r="R67" s="4"/>
      <c r="S67" s="4"/>
      <c r="T67" s="4"/>
      <c r="U67" s="4"/>
      <c r="V67" s="4"/>
      <c r="W67" s="4"/>
      <c r="X67" s="4"/>
      <c r="Y67" s="4"/>
      <c r="Z67" s="4"/>
    </row>
    <row r="68" spans="1:26" ht="94.35" customHeight="1" x14ac:dyDescent="0.2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4"/>
      <c r="Q68" s="15"/>
      <c r="R68" s="4"/>
      <c r="S68" s="4"/>
      <c r="T68" s="4"/>
      <c r="U68" s="4"/>
      <c r="V68" s="4"/>
      <c r="W68" s="4"/>
      <c r="X68" s="4"/>
      <c r="Y68" s="4"/>
      <c r="Z68" s="4"/>
    </row>
    <row r="69" spans="1:26" ht="94.35" customHeight="1" x14ac:dyDescent="0.2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4"/>
      <c r="Q69" s="15"/>
      <c r="R69" s="4"/>
      <c r="S69" s="4"/>
      <c r="T69" s="4"/>
      <c r="U69" s="4"/>
      <c r="V69" s="4"/>
      <c r="W69" s="4"/>
      <c r="X69" s="4"/>
      <c r="Y69" s="4"/>
      <c r="Z69" s="4"/>
    </row>
    <row r="70" spans="1:26" ht="94.35" customHeight="1" x14ac:dyDescent="0.2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4"/>
      <c r="Q70" s="15"/>
      <c r="R70" s="4"/>
      <c r="S70" s="4"/>
      <c r="T70" s="4"/>
      <c r="U70" s="4"/>
      <c r="V70" s="4"/>
      <c r="W70" s="4"/>
      <c r="X70" s="4"/>
      <c r="Y70" s="4"/>
      <c r="Z70" s="4"/>
    </row>
    <row r="71" spans="1:26" ht="94.35" customHeight="1" x14ac:dyDescent="0.2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4"/>
      <c r="Q71" s="15"/>
      <c r="R71" s="4"/>
      <c r="S71" s="4"/>
      <c r="T71" s="4"/>
      <c r="U71" s="4"/>
      <c r="V71" s="4"/>
      <c r="W71" s="4"/>
      <c r="X71" s="4"/>
      <c r="Y71" s="4"/>
      <c r="Z71" s="4"/>
    </row>
    <row r="72" spans="1:26" ht="94.35" customHeight="1" x14ac:dyDescent="0.2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4"/>
      <c r="Q72" s="15"/>
      <c r="R72" s="4"/>
      <c r="S72" s="4"/>
      <c r="T72" s="4"/>
      <c r="U72" s="4"/>
      <c r="V72" s="4"/>
      <c r="W72" s="4"/>
      <c r="X72" s="4"/>
      <c r="Y72" s="4"/>
      <c r="Z72" s="4"/>
    </row>
    <row r="73" spans="1:26" ht="94.35" customHeight="1" x14ac:dyDescent="0.2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4"/>
      <c r="Q73" s="15"/>
      <c r="R73" s="4"/>
      <c r="S73" s="4"/>
      <c r="T73" s="4"/>
      <c r="U73" s="4"/>
      <c r="V73" s="4"/>
      <c r="W73" s="4"/>
      <c r="X73" s="4"/>
      <c r="Y73" s="4"/>
      <c r="Z73" s="4"/>
    </row>
    <row r="74" spans="1:26" ht="94.35" customHeight="1" x14ac:dyDescent="0.2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4"/>
      <c r="Q74" s="15"/>
      <c r="R74" s="4"/>
      <c r="S74" s="4"/>
      <c r="T74" s="4"/>
      <c r="U74" s="4"/>
      <c r="V74" s="4"/>
      <c r="W74" s="4"/>
      <c r="X74" s="4"/>
      <c r="Y74" s="4"/>
      <c r="Z74" s="4"/>
    </row>
    <row r="75" spans="1:26" ht="94.35" customHeight="1" x14ac:dyDescent="0.2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4"/>
      <c r="Q75" s="15"/>
      <c r="R75" s="4"/>
      <c r="S75" s="4"/>
      <c r="T75" s="4"/>
      <c r="U75" s="4"/>
      <c r="V75" s="4"/>
      <c r="W75" s="4"/>
      <c r="X75" s="4"/>
      <c r="Y75" s="4"/>
      <c r="Z75" s="4"/>
    </row>
    <row r="76" spans="1:26" ht="94.35" customHeight="1" x14ac:dyDescent="0.2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4"/>
      <c r="Q76" s="15"/>
      <c r="R76" s="4"/>
      <c r="S76" s="4"/>
      <c r="T76" s="4"/>
      <c r="U76" s="4"/>
      <c r="V76" s="4"/>
      <c r="W76" s="4"/>
      <c r="X76" s="4"/>
      <c r="Y76" s="4"/>
      <c r="Z76" s="4"/>
    </row>
    <row r="77" spans="1:26" ht="94.35" customHeight="1" x14ac:dyDescent="0.2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4"/>
      <c r="Q77" s="15"/>
      <c r="R77" s="4"/>
      <c r="S77" s="4"/>
      <c r="T77" s="4"/>
      <c r="U77" s="4"/>
      <c r="V77" s="4"/>
      <c r="W77" s="4"/>
      <c r="X77" s="4"/>
      <c r="Y77" s="4"/>
      <c r="Z77" s="4"/>
    </row>
    <row r="78" spans="1:26" ht="94.35" customHeight="1" x14ac:dyDescent="0.2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4"/>
      <c r="Q78" s="15"/>
      <c r="R78" s="4"/>
      <c r="S78" s="4"/>
      <c r="T78" s="4"/>
      <c r="U78" s="4"/>
      <c r="V78" s="4"/>
      <c r="W78" s="4"/>
      <c r="X78" s="4"/>
      <c r="Y78" s="4"/>
      <c r="Z78" s="4"/>
    </row>
    <row r="79" spans="1:26" ht="94.35" customHeight="1" x14ac:dyDescent="0.2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4"/>
      <c r="Q79" s="15"/>
      <c r="R79" s="4"/>
      <c r="S79" s="4"/>
      <c r="T79" s="4"/>
      <c r="U79" s="4"/>
      <c r="V79" s="4"/>
      <c r="W79" s="4"/>
      <c r="X79" s="4"/>
      <c r="Y79" s="4"/>
      <c r="Z79" s="4"/>
    </row>
    <row r="80" spans="1:26" ht="94.35" customHeight="1" x14ac:dyDescent="0.2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4"/>
      <c r="Q80" s="15"/>
      <c r="R80" s="4"/>
      <c r="S80" s="4"/>
      <c r="T80" s="4"/>
      <c r="U80" s="4"/>
      <c r="V80" s="4"/>
      <c r="W80" s="4"/>
      <c r="X80" s="4"/>
      <c r="Y80" s="4"/>
      <c r="Z80" s="4"/>
    </row>
    <row r="81" spans="1:26" ht="94.3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15"/>
      <c r="R81" s="4"/>
      <c r="S81" s="4"/>
      <c r="T81" s="4"/>
      <c r="U81" s="4"/>
      <c r="V81" s="4"/>
      <c r="W81" s="4"/>
      <c r="X81" s="4"/>
      <c r="Y81" s="4"/>
      <c r="Z81" s="4"/>
    </row>
    <row r="82" spans="1:26" ht="94.3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15"/>
      <c r="R82" s="4"/>
      <c r="S82" s="4"/>
      <c r="T82" s="4"/>
      <c r="U82" s="4"/>
      <c r="V82" s="4"/>
      <c r="W82" s="4"/>
      <c r="X82" s="4"/>
      <c r="Y82" s="4"/>
      <c r="Z82" s="4"/>
    </row>
    <row r="83" spans="1:26" ht="94.3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15"/>
      <c r="R83" s="4"/>
      <c r="S83" s="4"/>
      <c r="T83" s="4"/>
      <c r="U83" s="4"/>
      <c r="V83" s="4"/>
      <c r="W83" s="4"/>
      <c r="X83" s="4"/>
      <c r="Y83" s="4"/>
      <c r="Z83" s="4"/>
    </row>
    <row r="84" spans="1:26" ht="94.3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15"/>
      <c r="R84" s="4"/>
      <c r="S84" s="4"/>
      <c r="T84" s="4"/>
      <c r="U84" s="4"/>
      <c r="V84" s="4"/>
      <c r="W84" s="4"/>
      <c r="X84" s="4"/>
      <c r="Y84" s="4"/>
      <c r="Z84" s="4"/>
    </row>
    <row r="85" spans="1:26" ht="94.3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15"/>
      <c r="R85" s="4"/>
      <c r="S85" s="4"/>
      <c r="T85" s="4"/>
      <c r="U85" s="4"/>
      <c r="V85" s="4"/>
      <c r="W85" s="4"/>
      <c r="X85" s="4"/>
      <c r="Y85" s="4"/>
      <c r="Z85" s="4"/>
    </row>
    <row r="86" spans="1:26" ht="94.3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15"/>
      <c r="R86" s="4"/>
      <c r="S86" s="4"/>
      <c r="T86" s="4"/>
      <c r="U86" s="4"/>
      <c r="V86" s="4"/>
      <c r="W86" s="4"/>
      <c r="X86" s="4"/>
      <c r="Y86" s="4"/>
      <c r="Z86" s="4"/>
    </row>
    <row r="87" spans="1:26" ht="94.3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15"/>
      <c r="R87" s="4"/>
      <c r="S87" s="4"/>
      <c r="T87" s="4"/>
      <c r="U87" s="4"/>
      <c r="V87" s="4"/>
      <c r="W87" s="4"/>
      <c r="X87" s="4"/>
      <c r="Y87" s="4"/>
      <c r="Z87" s="4"/>
    </row>
    <row r="88" spans="1:26" ht="94.3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15"/>
      <c r="R88" s="4"/>
      <c r="S88" s="4"/>
      <c r="T88" s="4"/>
      <c r="U88" s="4"/>
      <c r="V88" s="4"/>
      <c r="W88" s="4"/>
      <c r="X88" s="4"/>
      <c r="Y88" s="4"/>
      <c r="Z88" s="4"/>
    </row>
    <row r="89" spans="1:26" ht="94.3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15"/>
      <c r="R89" s="4"/>
      <c r="S89" s="4"/>
      <c r="T89" s="4"/>
      <c r="U89" s="4"/>
      <c r="V89" s="4"/>
      <c r="W89" s="4"/>
      <c r="X89" s="4"/>
      <c r="Y89" s="4"/>
      <c r="Z89" s="4"/>
    </row>
    <row r="90" spans="1:26" ht="94.3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15"/>
      <c r="R90" s="4"/>
      <c r="S90" s="4"/>
      <c r="T90" s="4"/>
      <c r="U90" s="4"/>
      <c r="V90" s="4"/>
      <c r="W90" s="4"/>
      <c r="X90" s="4"/>
      <c r="Y90" s="4"/>
      <c r="Z90" s="4"/>
    </row>
    <row r="91" spans="1:26" ht="94.3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15"/>
      <c r="R91" s="4"/>
      <c r="S91" s="4"/>
      <c r="T91" s="4"/>
      <c r="U91" s="4"/>
      <c r="V91" s="4"/>
      <c r="W91" s="4"/>
      <c r="X91" s="4"/>
      <c r="Y91" s="4"/>
      <c r="Z91" s="4"/>
    </row>
    <row r="92" spans="1:26" ht="94.3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15"/>
      <c r="R92" s="4"/>
      <c r="S92" s="4"/>
      <c r="T92" s="4"/>
      <c r="U92" s="4"/>
      <c r="V92" s="4"/>
      <c r="W92" s="4"/>
      <c r="X92" s="4"/>
      <c r="Y92" s="4"/>
      <c r="Z92" s="4"/>
    </row>
    <row r="93" spans="1:26" ht="94.3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15"/>
      <c r="R93" s="4"/>
      <c r="S93" s="4"/>
      <c r="T93" s="4"/>
      <c r="U93" s="4"/>
      <c r="V93" s="4"/>
      <c r="W93" s="4"/>
      <c r="X93" s="4"/>
      <c r="Y93" s="4"/>
      <c r="Z93" s="4"/>
    </row>
    <row r="94" spans="1:26" ht="94.3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15"/>
      <c r="R94" s="4"/>
      <c r="S94" s="4"/>
      <c r="T94" s="4"/>
      <c r="U94" s="4"/>
      <c r="V94" s="4"/>
      <c r="W94" s="4"/>
      <c r="X94" s="4"/>
      <c r="Y94" s="4"/>
      <c r="Z94" s="4"/>
    </row>
    <row r="95" spans="1:26" ht="94.3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15"/>
      <c r="R95" s="4"/>
      <c r="S95" s="4"/>
      <c r="T95" s="4"/>
      <c r="U95" s="4"/>
      <c r="V95" s="4"/>
      <c r="W95" s="4"/>
      <c r="X95" s="4"/>
      <c r="Y95" s="4"/>
      <c r="Z95" s="4"/>
    </row>
    <row r="96" spans="1:26" ht="94.3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15"/>
      <c r="R96" s="4"/>
      <c r="S96" s="4"/>
      <c r="T96" s="4"/>
      <c r="U96" s="4"/>
      <c r="V96" s="4"/>
      <c r="W96" s="4"/>
      <c r="X96" s="4"/>
      <c r="Y96" s="4"/>
      <c r="Z96" s="4"/>
    </row>
    <row r="97" spans="1:26" ht="94.3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15"/>
      <c r="R97" s="4"/>
      <c r="S97" s="4"/>
      <c r="T97" s="4"/>
      <c r="U97" s="4"/>
      <c r="V97" s="4"/>
      <c r="W97" s="4"/>
      <c r="X97" s="4"/>
      <c r="Y97" s="4"/>
      <c r="Z97" s="4"/>
    </row>
    <row r="98" spans="1:26" ht="94.3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15"/>
      <c r="R98" s="4"/>
      <c r="S98" s="4"/>
      <c r="T98" s="4"/>
      <c r="U98" s="4"/>
      <c r="V98" s="4"/>
      <c r="W98" s="4"/>
      <c r="X98" s="4"/>
      <c r="Y98" s="4"/>
      <c r="Z98" s="4"/>
    </row>
    <row r="99" spans="1:26" ht="94.3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15"/>
      <c r="R99" s="4"/>
      <c r="S99" s="4"/>
      <c r="T99" s="4"/>
      <c r="U99" s="4"/>
      <c r="V99" s="4"/>
      <c r="W99" s="4"/>
      <c r="X99" s="4"/>
      <c r="Y99" s="4"/>
      <c r="Z99" s="4"/>
    </row>
    <row r="100" spans="1:26" ht="94.3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15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0.199999999999999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15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0.199999999999999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15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0.199999999999999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15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0.199999999999999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15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0.199999999999999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15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0.199999999999999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15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0.199999999999999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15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0.199999999999999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15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0.199999999999999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15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0.199999999999999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15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0.199999999999999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15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0.199999999999999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15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0.199999999999999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15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0.199999999999999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15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0.199999999999999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15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0.199999999999999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15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0.199999999999999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15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0.199999999999999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15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0.199999999999999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15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0.199999999999999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15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0.199999999999999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15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0.199999999999999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15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0.199999999999999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15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0.199999999999999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15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0.199999999999999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15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0.199999999999999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15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0.199999999999999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15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0.199999999999999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15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0.199999999999999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15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0.199999999999999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15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0.199999999999999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15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0.199999999999999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15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0.199999999999999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15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0.199999999999999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15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0.199999999999999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15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0.199999999999999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15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0.199999999999999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15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0.199999999999999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15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0.199999999999999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15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0.199999999999999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15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0.199999999999999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15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0.199999999999999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15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0.199999999999999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15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0.199999999999999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15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0.199999999999999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15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0.199999999999999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15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0.199999999999999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15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0.199999999999999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15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0.199999999999999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15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0.199999999999999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15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0.199999999999999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15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0.199999999999999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15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0.199999999999999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15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0.199999999999999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15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0.199999999999999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15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0.199999999999999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15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0.199999999999999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15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0.199999999999999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15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0.199999999999999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15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0.199999999999999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15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0.199999999999999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15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0.199999999999999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15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0.199999999999999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15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0.199999999999999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15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0.199999999999999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15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0.199999999999999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15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0.199999999999999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15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0.199999999999999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15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0.199999999999999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15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0.199999999999999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15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0.199999999999999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15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0.199999999999999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15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0.199999999999999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15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0.199999999999999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15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0.199999999999999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15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0.199999999999999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15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0.199999999999999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15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0.199999999999999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15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0.199999999999999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15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0.199999999999999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15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0.199999999999999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15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0.199999999999999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15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0.199999999999999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15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0.199999999999999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15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0.199999999999999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15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0.199999999999999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15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0.199999999999999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15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0.199999999999999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15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0.199999999999999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15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0.199999999999999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15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0.199999999999999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15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0.199999999999999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15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0.199999999999999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15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0.199999999999999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15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0.199999999999999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15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0.199999999999999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15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0.199999999999999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15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0.199999999999999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15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0.199999999999999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15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0.199999999999999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15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0.199999999999999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15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0.199999999999999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15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0.199999999999999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15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0.199999999999999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15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0.199999999999999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15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0.199999999999999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15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0.199999999999999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15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0.199999999999999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15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0.199999999999999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15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0.199999999999999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15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0.199999999999999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15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0.199999999999999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15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0.199999999999999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15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0.199999999999999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15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0.199999999999999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15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0.199999999999999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15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0.199999999999999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15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0.199999999999999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15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0.199999999999999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15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0.199999999999999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15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0.199999999999999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15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0.199999999999999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15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0.199999999999999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15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0.199999999999999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15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0.199999999999999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15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0.199999999999999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15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0.199999999999999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15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0.199999999999999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15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0.199999999999999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15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0.199999999999999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15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0.199999999999999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15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0.199999999999999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15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0.199999999999999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15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0.199999999999999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15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0.199999999999999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15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0.199999999999999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15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0.199999999999999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15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0.199999999999999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15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0.199999999999999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15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0.199999999999999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15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0.199999999999999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15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0.199999999999999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15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0.199999999999999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15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0.199999999999999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15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0.199999999999999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15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0.199999999999999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15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0.199999999999999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15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0.199999999999999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15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0.199999999999999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15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0.199999999999999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15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0.199999999999999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15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0.199999999999999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15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0.199999999999999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15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0.199999999999999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15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0.199999999999999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15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0.199999999999999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15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0.199999999999999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15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0.199999999999999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15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0.199999999999999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15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0.199999999999999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15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0.199999999999999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15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0.199999999999999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15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0.199999999999999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15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0.199999999999999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15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0.199999999999999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15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0.199999999999999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15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0.199999999999999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15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0.199999999999999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15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0.199999999999999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15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0.199999999999999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15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0.199999999999999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15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0.199999999999999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15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0.199999999999999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15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0.199999999999999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15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0.199999999999999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15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0.199999999999999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15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0.199999999999999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15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0.199999999999999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15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0.199999999999999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15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0.199999999999999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15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0.199999999999999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15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0.199999999999999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15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0.199999999999999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15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0.199999999999999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15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0.199999999999999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15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0.199999999999999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15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0.199999999999999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15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0.199999999999999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15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0.199999999999999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15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0.199999999999999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15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0.199999999999999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15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0.199999999999999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15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0.199999999999999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15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0.199999999999999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15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0.199999999999999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15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0.199999999999999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15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0.199999999999999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15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0.199999999999999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15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0.199999999999999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15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0.199999999999999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15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0.199999999999999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15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0.199999999999999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15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0.199999999999999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15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0.199999999999999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15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0.199999999999999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15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0.199999999999999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15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0.199999999999999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15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0.199999999999999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15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0.199999999999999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15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0.199999999999999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15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0.199999999999999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15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0.199999999999999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15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0.199999999999999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15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0.199999999999999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15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0.199999999999999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15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0.199999999999999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15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0.199999999999999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15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0.199999999999999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15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0.199999999999999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15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0.199999999999999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15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0.199999999999999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15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0.199999999999999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15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0.199999999999999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15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0.199999999999999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15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0.199999999999999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15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0.199999999999999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15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0.199999999999999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15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0.199999999999999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15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0.199999999999999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15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0.199999999999999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15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0.199999999999999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15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0.199999999999999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15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0.199999999999999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15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0.199999999999999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15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0.199999999999999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15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0.199999999999999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15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0.199999999999999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15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0.199999999999999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15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0.199999999999999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15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0.199999999999999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15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0.199999999999999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15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0.199999999999999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15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0.199999999999999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15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0.199999999999999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15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0.199999999999999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15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0.199999999999999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15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0.199999999999999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15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0.199999999999999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15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0.199999999999999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15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0.199999999999999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15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0.199999999999999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15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0.199999999999999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15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0.199999999999999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15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0.199999999999999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15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0.199999999999999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15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0.199999999999999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15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0.199999999999999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15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0.199999999999999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15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0.199999999999999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15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0.199999999999999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15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0.199999999999999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15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0.199999999999999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15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0.199999999999999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15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0.199999999999999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15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0.199999999999999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15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0.199999999999999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15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0.199999999999999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15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0.199999999999999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15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0.199999999999999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15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0.199999999999999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15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0.199999999999999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15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0.199999999999999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15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0.199999999999999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15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0.199999999999999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15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0.199999999999999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15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0.199999999999999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15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0.199999999999999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15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0.199999999999999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15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0.199999999999999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15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0.199999999999999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15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0.199999999999999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15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0.199999999999999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15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0.199999999999999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15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0.199999999999999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15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0.199999999999999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15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0.199999999999999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15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0.199999999999999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15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0.199999999999999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15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0.199999999999999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15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0.199999999999999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15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0.199999999999999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15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0.199999999999999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15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0.199999999999999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15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0.199999999999999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15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0.199999999999999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15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0.199999999999999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15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0.199999999999999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15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0.199999999999999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15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0.199999999999999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15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0.199999999999999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15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0.199999999999999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15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0.199999999999999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15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0.199999999999999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15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0.199999999999999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15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0.199999999999999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15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0.199999999999999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15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0.199999999999999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15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0.199999999999999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15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0.199999999999999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15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0.199999999999999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15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0.199999999999999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15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0.199999999999999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15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0.199999999999999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15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0.199999999999999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15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0.199999999999999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15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0.199999999999999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15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0.199999999999999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15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0.199999999999999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15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0.199999999999999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15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0.199999999999999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15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0.199999999999999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15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0.199999999999999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15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0.199999999999999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15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0.199999999999999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15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0.199999999999999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15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0.199999999999999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15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0.199999999999999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15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0.199999999999999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15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0.199999999999999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15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0.199999999999999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15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0.199999999999999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15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0.199999999999999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15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0.199999999999999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15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0.199999999999999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15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0.199999999999999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15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0.199999999999999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15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0.199999999999999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15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0.199999999999999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15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0.199999999999999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15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0.199999999999999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15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0.199999999999999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15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0.199999999999999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15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0.199999999999999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15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0.199999999999999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15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0.199999999999999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15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0.199999999999999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15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0.199999999999999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15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0.199999999999999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15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0.199999999999999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15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0.199999999999999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15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0.199999999999999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15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0.199999999999999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15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0.199999999999999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15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0.199999999999999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15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0.199999999999999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15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0.199999999999999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15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0.199999999999999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15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0.199999999999999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15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0.199999999999999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15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0.199999999999999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15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0.199999999999999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15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0.199999999999999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15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0.199999999999999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15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0.199999999999999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15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0.199999999999999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15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0.199999999999999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15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0.199999999999999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15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0.199999999999999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15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0.199999999999999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15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0.199999999999999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15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0.199999999999999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15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0.199999999999999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15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0.199999999999999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15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0.199999999999999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15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0.199999999999999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15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0.199999999999999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15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0.199999999999999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15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0.199999999999999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15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0.199999999999999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15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0.199999999999999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15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0.199999999999999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15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0.199999999999999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15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0.199999999999999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15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0.199999999999999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15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0.199999999999999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15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0.199999999999999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15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0.199999999999999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15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0.199999999999999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15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0.199999999999999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15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0.199999999999999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15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0.199999999999999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15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0.199999999999999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15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0.199999999999999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15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0.199999999999999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15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0.199999999999999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15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0.199999999999999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15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0.199999999999999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15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0.199999999999999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15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0.199999999999999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15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0.199999999999999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15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0.199999999999999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15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0.199999999999999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15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0.199999999999999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15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0.199999999999999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15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0.199999999999999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15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0.199999999999999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15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0.199999999999999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15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0.199999999999999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15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0.199999999999999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15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0.199999999999999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15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0.199999999999999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15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0.199999999999999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15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0.199999999999999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15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0.199999999999999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15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0.199999999999999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15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0.199999999999999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15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0.199999999999999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15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0.199999999999999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15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0.199999999999999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15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0.199999999999999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15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0.199999999999999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15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0.199999999999999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15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0.199999999999999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15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0.199999999999999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15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0.199999999999999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15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0.199999999999999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15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0.199999999999999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15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0.199999999999999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15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0.199999999999999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15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0.199999999999999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15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0.199999999999999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15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0.199999999999999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15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0.199999999999999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15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0.199999999999999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15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0.199999999999999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15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0.199999999999999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15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0.199999999999999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15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0.199999999999999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15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0.199999999999999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15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0.199999999999999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15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0.199999999999999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15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0.199999999999999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15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0.199999999999999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15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0.199999999999999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15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0.199999999999999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15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0.199999999999999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15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0.199999999999999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15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0.199999999999999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15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0.199999999999999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15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0.199999999999999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15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0.199999999999999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15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0.199999999999999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15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0.199999999999999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15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0.199999999999999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15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0.199999999999999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15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0.199999999999999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15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0.199999999999999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15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0.199999999999999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15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0.199999999999999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15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0.199999999999999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15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0.199999999999999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15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0.199999999999999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15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0.199999999999999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15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0.199999999999999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15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0.199999999999999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15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0.199999999999999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15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0.199999999999999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15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0.199999999999999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15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0.199999999999999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15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0.199999999999999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15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0.199999999999999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15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0.199999999999999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15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0.199999999999999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15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0.199999999999999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15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0.199999999999999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15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0.199999999999999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15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0.199999999999999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15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0.199999999999999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15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0.199999999999999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15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0.199999999999999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15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0.199999999999999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15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0.199999999999999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15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0.199999999999999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15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0.199999999999999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15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0.199999999999999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15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0.199999999999999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15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0.199999999999999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15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0.199999999999999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15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0.199999999999999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15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0.199999999999999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15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0.199999999999999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15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0.199999999999999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15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0.199999999999999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15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0.199999999999999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15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0.199999999999999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15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0.199999999999999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15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0.199999999999999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15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0.199999999999999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15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0.199999999999999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15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0.199999999999999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15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0.199999999999999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15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0.199999999999999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15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0.199999999999999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15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0.199999999999999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15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0.199999999999999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15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0.199999999999999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15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0.199999999999999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15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0.199999999999999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15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0.199999999999999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15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0.199999999999999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15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0.199999999999999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15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0.199999999999999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15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0.199999999999999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15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0.199999999999999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15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0.199999999999999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15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0.199999999999999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15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0.199999999999999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15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0.199999999999999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15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0.199999999999999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15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0.199999999999999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15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0.199999999999999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15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0.199999999999999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15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0.199999999999999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15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0.199999999999999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15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0.199999999999999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15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0.199999999999999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15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0.199999999999999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15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0.199999999999999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15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0.199999999999999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15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0.199999999999999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15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0.199999999999999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15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0.199999999999999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15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0.199999999999999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15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0.199999999999999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15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0.199999999999999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15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0.199999999999999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15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0.199999999999999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15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0.199999999999999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15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0.199999999999999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15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0.199999999999999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15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0.199999999999999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15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0.199999999999999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15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0.199999999999999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15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0.199999999999999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15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0.199999999999999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15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0.199999999999999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15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0.199999999999999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15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0.199999999999999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15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0.199999999999999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15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0.199999999999999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15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0.199999999999999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15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0.199999999999999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15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0.199999999999999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15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0.199999999999999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15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0.199999999999999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15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0.199999999999999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15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0.199999999999999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15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0.199999999999999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15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0.199999999999999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15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0.199999999999999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15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0.199999999999999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15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0.199999999999999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15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0.199999999999999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15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0.199999999999999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15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0.199999999999999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15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0.199999999999999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15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0.199999999999999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15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0.199999999999999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15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0.199999999999999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15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0.199999999999999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15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0.199999999999999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15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0.199999999999999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15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0.199999999999999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15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0.199999999999999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15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0.199999999999999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15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0.199999999999999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15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0.199999999999999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15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0.199999999999999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15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0.199999999999999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15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0.199999999999999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15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0.199999999999999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15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0.199999999999999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15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0.199999999999999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15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0.199999999999999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15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0.199999999999999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15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0.199999999999999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15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0.199999999999999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15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0.199999999999999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15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0.199999999999999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15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0.199999999999999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15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0.199999999999999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15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0.199999999999999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15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0.199999999999999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15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0.199999999999999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15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0.199999999999999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15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0.199999999999999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15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0.199999999999999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15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0.199999999999999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15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0.199999999999999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15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0.199999999999999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15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0.199999999999999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15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0.199999999999999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15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0.199999999999999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15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0.199999999999999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15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0.199999999999999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15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0.199999999999999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15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0.199999999999999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15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0.199999999999999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15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0.199999999999999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15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0.199999999999999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15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0.199999999999999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15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0.199999999999999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15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0.199999999999999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15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0.199999999999999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15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0.199999999999999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15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0.199999999999999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15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0.199999999999999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15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0.199999999999999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15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0.199999999999999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15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0.199999999999999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15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0.199999999999999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15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0.199999999999999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15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0.199999999999999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15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0.199999999999999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15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0.199999999999999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15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0.199999999999999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15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0.199999999999999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15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0.199999999999999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15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0.199999999999999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15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0.199999999999999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15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0.199999999999999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15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0.199999999999999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15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0.199999999999999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15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0.199999999999999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15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0.199999999999999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15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0.199999999999999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15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0.199999999999999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15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0.199999999999999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15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0.199999999999999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15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0.199999999999999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15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0.199999999999999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15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0.199999999999999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15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0.199999999999999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15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0.199999999999999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15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0.199999999999999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15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0.199999999999999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15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0.199999999999999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15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0.199999999999999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15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0.199999999999999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15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0.199999999999999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15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0.199999999999999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15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0.199999999999999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15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0.199999999999999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15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0.199999999999999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15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0.199999999999999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15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0.199999999999999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15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0.199999999999999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15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0.199999999999999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15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0.199999999999999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15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0.199999999999999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15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0.199999999999999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15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0.199999999999999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15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0.199999999999999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15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0.199999999999999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15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0.199999999999999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15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0.199999999999999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15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0.199999999999999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15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0.199999999999999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15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0.199999999999999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15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0.199999999999999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15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0.199999999999999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15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0.199999999999999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15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0.199999999999999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15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0.199999999999999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15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0.199999999999999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15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0.199999999999999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15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0.199999999999999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15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0.199999999999999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15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0.199999999999999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15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0.199999999999999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15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0.199999999999999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15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0.199999999999999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15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0.199999999999999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15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0.199999999999999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15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0.199999999999999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15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0.199999999999999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15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0.199999999999999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15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0.199999999999999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15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0.199999999999999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15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0.199999999999999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15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0.199999999999999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15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0.199999999999999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15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0.199999999999999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15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0.199999999999999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15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0.199999999999999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15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0.199999999999999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15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0.199999999999999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15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0.199999999999999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15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0.199999999999999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15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0.199999999999999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15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0.199999999999999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15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0.199999999999999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15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0.199999999999999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15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0.199999999999999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15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0.199999999999999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15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0.199999999999999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15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0.199999999999999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15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0.199999999999999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15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0.199999999999999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15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0.199999999999999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15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0.199999999999999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15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0.199999999999999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15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0.199999999999999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15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0.199999999999999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15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0.199999999999999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15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0.199999999999999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15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0.199999999999999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15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0.199999999999999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15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0.199999999999999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15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0.199999999999999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15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0.199999999999999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15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0.199999999999999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15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0.199999999999999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15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0.199999999999999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15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0.199999999999999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15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0.199999999999999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15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0.199999999999999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15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0.199999999999999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15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0.199999999999999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15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0.199999999999999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15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0.199999999999999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15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0.199999999999999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15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0.199999999999999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15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0.199999999999999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15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0.199999999999999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15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0.199999999999999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15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0.199999999999999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15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0.199999999999999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15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0.199999999999999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15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0.199999999999999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15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0.199999999999999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15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0.199999999999999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15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0.199999999999999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15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0.199999999999999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15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0.199999999999999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15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0.199999999999999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15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0.199999999999999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15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0.199999999999999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15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0.199999999999999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15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0.199999999999999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15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0.199999999999999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15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0.199999999999999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15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0.199999999999999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15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0.199999999999999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15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0.199999999999999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15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0.199999999999999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15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0.199999999999999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15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0.199999999999999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15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0.199999999999999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15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0.199999999999999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15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0.199999999999999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15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0.199999999999999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15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0.199999999999999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15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0.199999999999999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15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0.199999999999999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15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0.199999999999999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15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0.199999999999999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15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0.199999999999999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15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0.199999999999999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15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0.199999999999999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15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0.199999999999999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15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0.199999999999999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15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0.199999999999999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15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0.199999999999999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15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0.199999999999999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15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0.199999999999999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15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0.199999999999999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15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0.199999999999999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15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0.199999999999999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15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0.199999999999999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15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0.199999999999999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15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0.199999999999999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15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0.199999999999999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15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0.199999999999999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15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0.199999999999999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15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0.199999999999999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15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0.199999999999999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15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0.199999999999999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15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0.199999999999999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15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0.199999999999999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15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0.199999999999999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15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0.199999999999999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15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0.199999999999999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15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0.199999999999999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15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0.199999999999999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15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0.199999999999999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15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0.199999999999999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15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0.199999999999999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15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0.199999999999999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15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0.199999999999999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15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0.199999999999999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15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0.199999999999999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15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0.199999999999999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15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0.199999999999999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15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0.199999999999999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15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0.199999999999999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15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0.199999999999999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15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0.199999999999999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15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0.199999999999999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15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0.199999999999999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15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0.199999999999999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15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0.199999999999999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15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0.199999999999999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15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0.199999999999999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15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0.199999999999999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15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0.199999999999999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15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0.199999999999999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15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0.199999999999999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15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0.199999999999999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15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0.199999999999999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15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0.199999999999999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15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0.199999999999999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15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0.199999999999999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15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0.199999999999999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15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0.199999999999999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15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0.199999999999999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15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0.199999999999999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15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0.199999999999999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15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0.199999999999999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15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0.199999999999999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15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0.199999999999999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15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0.199999999999999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15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0.199999999999999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15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0.199999999999999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15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0.199999999999999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15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0.199999999999999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15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0.199999999999999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15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0.199999999999999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15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0.199999999999999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15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0.199999999999999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15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0.199999999999999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15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0.199999999999999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15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0.199999999999999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15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0.199999999999999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15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0.199999999999999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15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0.199999999999999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15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0.199999999999999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15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0.199999999999999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15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0.199999999999999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15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0.199999999999999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15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0.199999999999999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15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0.199999999999999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15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0.199999999999999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15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0.199999999999999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15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0.199999999999999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15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0.199999999999999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15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0.199999999999999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15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0.199999999999999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15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0.199999999999999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15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0.199999999999999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15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0.199999999999999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15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0.199999999999999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15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0.199999999999999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15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0.199999999999999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15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0.199999999999999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15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0.199999999999999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15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0.199999999999999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15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0.199999999999999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15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0.199999999999999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15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0.199999999999999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15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0.199999999999999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15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0.199999999999999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15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0.199999999999999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15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0.199999999999999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15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0.199999999999999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15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0.199999999999999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15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0.199999999999999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15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0.199999999999999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15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0.199999999999999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15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0.199999999999999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15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0.199999999999999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15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0.199999999999999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15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0.199999999999999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15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0.199999999999999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15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0.199999999999999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15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0.199999999999999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15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0.199999999999999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15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0.199999999999999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15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0.199999999999999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15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0.199999999999999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15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0.199999999999999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15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0.199999999999999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15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0.199999999999999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15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0.199999999999999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15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0.199999999999999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15"/>
      <c r="R995" s="4"/>
      <c r="S995" s="4"/>
      <c r="T995" s="4"/>
      <c r="U995" s="4"/>
      <c r="V995" s="4"/>
      <c r="W995" s="4"/>
      <c r="X995" s="4"/>
      <c r="Y995" s="4"/>
      <c r="Z995" s="4"/>
    </row>
  </sheetData>
  <mergeCells count="4">
    <mergeCell ref="B1:E1"/>
    <mergeCell ref="A2:A3"/>
    <mergeCell ref="B2:E3"/>
    <mergeCell ref="B4:E4"/>
  </mergeCells>
  <dataValidations count="1">
    <dataValidation type="list" allowBlank="1" showErrorMessage="1" sqref="G2:G3 J2:J3 M2:M3 G9 J9 M9 F12:F29 I12:I29 L12:L29 G30:G142 J30:J142 M30:M142" xr:uid="{00000000-0002-0000-0400-000000000000}">
      <formula1>$R$2:$R$5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93"/>
  <sheetViews>
    <sheetView topLeftCell="A17" workbookViewId="0">
      <selection activeCell="A17" sqref="A17:XFD17"/>
    </sheetView>
  </sheetViews>
  <sheetFormatPr defaultColWidth="12.6640625" defaultRowHeight="13.2" x14ac:dyDescent="0.2"/>
  <cols>
    <col min="1" max="1" width="14" customWidth="1"/>
    <col min="2" max="2" width="34" customWidth="1"/>
    <col min="3" max="3" width="58" customWidth="1"/>
    <col min="4" max="4" width="48" customWidth="1"/>
    <col min="5" max="5" width="38" customWidth="1"/>
    <col min="6" max="6" width="9.33203125" customWidth="1"/>
    <col min="7" max="7" width="13" customWidth="1"/>
    <col min="8" max="8" width="8.77734375" customWidth="1"/>
    <col min="9" max="9" width="9.33203125" customWidth="1"/>
    <col min="10" max="10" width="13" customWidth="1"/>
    <col min="11" max="11" width="8.21875" customWidth="1"/>
    <col min="12" max="12" width="9.33203125" customWidth="1"/>
    <col min="13" max="13" width="13" customWidth="1"/>
    <col min="14" max="14" width="9.44140625" customWidth="1"/>
    <col min="15" max="15" width="28.6640625" customWidth="1"/>
    <col min="16" max="16" width="10.109375" customWidth="1"/>
    <col min="17" max="17" width="8.109375" customWidth="1"/>
    <col min="18" max="18" width="7.6640625" hidden="1" customWidth="1"/>
    <col min="19" max="26" width="9" customWidth="1"/>
  </cols>
  <sheetData>
    <row r="1" spans="1:26" ht="10.199999999999999" customHeight="1" x14ac:dyDescent="0.25">
      <c r="A1" s="53"/>
      <c r="B1" s="154"/>
      <c r="C1" s="154"/>
      <c r="D1" s="154"/>
      <c r="E1" s="154"/>
      <c r="F1" s="18"/>
      <c r="G1" s="18"/>
      <c r="H1" s="18"/>
      <c r="I1" s="18"/>
      <c r="J1" s="18"/>
      <c r="K1" s="18"/>
      <c r="L1" s="18"/>
      <c r="M1" s="18"/>
      <c r="N1" s="18"/>
      <c r="O1" s="18"/>
      <c r="P1" s="4"/>
      <c r="Q1" s="15"/>
      <c r="R1" s="4"/>
      <c r="S1" s="4"/>
      <c r="T1" s="4"/>
      <c r="U1" s="4"/>
      <c r="V1" s="4"/>
      <c r="W1" s="4"/>
      <c r="X1" s="4"/>
      <c r="Y1" s="4"/>
      <c r="Z1" s="4"/>
    </row>
    <row r="2" spans="1:26" ht="33.6" customHeight="1" x14ac:dyDescent="0.25">
      <c r="A2" s="155" t="s">
        <v>29</v>
      </c>
      <c r="B2" s="156" t="s">
        <v>438</v>
      </c>
      <c r="C2" s="157"/>
      <c r="D2" s="157"/>
      <c r="E2" s="157"/>
      <c r="F2" s="16"/>
      <c r="G2" s="17"/>
      <c r="H2" s="18"/>
      <c r="I2" s="16"/>
      <c r="J2" s="17"/>
      <c r="K2" s="18"/>
      <c r="L2" s="16"/>
      <c r="M2" s="17"/>
      <c r="N2" s="18"/>
      <c r="O2" s="18"/>
      <c r="P2" s="18"/>
      <c r="Q2" s="19"/>
      <c r="R2" s="20" t="s">
        <v>24</v>
      </c>
      <c r="S2" s="20"/>
      <c r="T2" s="20"/>
      <c r="U2" s="20"/>
      <c r="V2" s="20"/>
      <c r="W2" s="20"/>
      <c r="X2" s="20"/>
      <c r="Y2" s="20"/>
      <c r="Z2" s="20"/>
    </row>
    <row r="3" spans="1:26" ht="33.6" customHeight="1" x14ac:dyDescent="0.25">
      <c r="A3" s="155" t="s">
        <v>30</v>
      </c>
      <c r="B3" s="156" t="s">
        <v>439</v>
      </c>
      <c r="C3" s="157"/>
      <c r="D3" s="157"/>
      <c r="E3" s="157"/>
      <c r="F3" s="16"/>
      <c r="G3" s="17"/>
      <c r="H3" s="18"/>
      <c r="I3" s="16"/>
      <c r="J3" s="17"/>
      <c r="K3" s="18"/>
      <c r="L3" s="16"/>
      <c r="M3" s="17"/>
      <c r="N3" s="18"/>
      <c r="O3" s="18"/>
      <c r="P3" s="18"/>
      <c r="Q3" s="19"/>
      <c r="R3" s="20" t="s">
        <v>25</v>
      </c>
      <c r="S3" s="20"/>
      <c r="T3" s="20"/>
      <c r="U3" s="20"/>
      <c r="V3" s="20"/>
      <c r="W3" s="20"/>
      <c r="X3" s="20"/>
      <c r="Y3" s="20"/>
      <c r="Z3" s="20"/>
    </row>
    <row r="4" spans="1:26" ht="14.4" customHeight="1" x14ac:dyDescent="0.25">
      <c r="A4" s="52" t="s">
        <v>31</v>
      </c>
      <c r="B4" s="156">
        <v>7</v>
      </c>
      <c r="C4" s="157"/>
      <c r="D4" s="157"/>
      <c r="E4" s="157"/>
      <c r="F4" s="16"/>
      <c r="G4" s="17"/>
      <c r="H4" s="18"/>
      <c r="I4" s="16"/>
      <c r="J4" s="17"/>
      <c r="K4" s="18"/>
      <c r="L4" s="16"/>
      <c r="M4" s="17"/>
      <c r="N4" s="18"/>
      <c r="O4" s="18"/>
      <c r="P4" s="18"/>
      <c r="Q4" s="19"/>
      <c r="R4" s="20" t="s">
        <v>26</v>
      </c>
      <c r="S4" s="20"/>
      <c r="T4" s="20"/>
      <c r="U4" s="20"/>
      <c r="V4" s="20"/>
      <c r="W4" s="20"/>
      <c r="X4" s="20"/>
      <c r="Y4" s="20"/>
      <c r="Z4" s="20"/>
    </row>
    <row r="5" spans="1:26" ht="15.6" customHeight="1" x14ac:dyDescent="0.25">
      <c r="A5" s="51" t="s">
        <v>360</v>
      </c>
      <c r="B5" s="51" t="s">
        <v>24</v>
      </c>
      <c r="C5" s="51" t="s">
        <v>25</v>
      </c>
      <c r="D5" s="51" t="s">
        <v>26</v>
      </c>
      <c r="E5" s="51" t="s">
        <v>27</v>
      </c>
      <c r="F5" s="21"/>
      <c r="G5" s="21"/>
      <c r="H5" s="22"/>
      <c r="I5" s="21"/>
      <c r="J5" s="21"/>
      <c r="K5" s="22"/>
      <c r="L5" s="21"/>
      <c r="M5" s="21"/>
      <c r="N5" s="22"/>
      <c r="O5" s="22"/>
      <c r="P5" s="22"/>
      <c r="Q5" s="23"/>
      <c r="R5" s="20" t="s">
        <v>27</v>
      </c>
      <c r="S5" s="20"/>
      <c r="T5" s="20"/>
      <c r="U5" s="20"/>
      <c r="V5" s="20"/>
      <c r="W5" s="20"/>
      <c r="X5" s="20"/>
      <c r="Y5" s="20"/>
      <c r="Z5" s="20"/>
    </row>
    <row r="6" spans="1:26" ht="12" customHeight="1" x14ac:dyDescent="0.25">
      <c r="A6" s="51" t="s">
        <v>361</v>
      </c>
      <c r="B6" s="51">
        <f t="shared" ref="B6:E6" si="0">COUNTIF($F$12:$F$1005,B$5)</f>
        <v>7</v>
      </c>
      <c r="C6" s="51">
        <f t="shared" si="0"/>
        <v>0</v>
      </c>
      <c r="D6" s="51">
        <f t="shared" si="0"/>
        <v>0</v>
      </c>
      <c r="E6" s="51">
        <f t="shared" si="0"/>
        <v>0</v>
      </c>
      <c r="F6" s="24"/>
      <c r="G6" s="24"/>
      <c r="H6" s="22"/>
      <c r="I6" s="24"/>
      <c r="J6" s="24"/>
      <c r="K6" s="22"/>
      <c r="L6" s="24"/>
      <c r="M6" s="24"/>
      <c r="N6" s="22"/>
      <c r="O6" s="22"/>
      <c r="P6" s="22"/>
      <c r="Q6" s="23"/>
      <c r="R6" s="20"/>
      <c r="S6" s="20"/>
      <c r="T6" s="20"/>
      <c r="U6" s="20"/>
      <c r="V6" s="20"/>
      <c r="W6" s="20"/>
      <c r="X6" s="20"/>
      <c r="Y6" s="20"/>
      <c r="Z6" s="20"/>
    </row>
    <row r="7" spans="1:26" ht="12" customHeight="1" x14ac:dyDescent="0.25">
      <c r="A7" s="51" t="s">
        <v>362</v>
      </c>
      <c r="B7" s="51">
        <f t="shared" ref="B7:E7" si="1">COUNTIF($I$12:$I$1005,B$5)</f>
        <v>7</v>
      </c>
      <c r="C7" s="51">
        <f t="shared" si="1"/>
        <v>0</v>
      </c>
      <c r="D7" s="51">
        <f t="shared" si="1"/>
        <v>0</v>
      </c>
      <c r="E7" s="51">
        <f t="shared" si="1"/>
        <v>0</v>
      </c>
      <c r="F7" s="24"/>
      <c r="G7" s="24"/>
      <c r="H7" s="22"/>
      <c r="I7" s="24"/>
      <c r="J7" s="24"/>
      <c r="K7" s="22"/>
      <c r="L7" s="24"/>
      <c r="M7" s="24"/>
      <c r="N7" s="22"/>
      <c r="O7" s="22"/>
      <c r="P7" s="22"/>
      <c r="Q7" s="23"/>
      <c r="R7" s="20"/>
      <c r="S7" s="20"/>
      <c r="T7" s="20"/>
      <c r="U7" s="20"/>
      <c r="V7" s="20"/>
      <c r="W7" s="20"/>
      <c r="X7" s="20"/>
      <c r="Y7" s="20"/>
      <c r="Z7" s="20"/>
    </row>
    <row r="8" spans="1:26" ht="12" customHeight="1" x14ac:dyDescent="0.25">
      <c r="A8" s="51" t="s">
        <v>363</v>
      </c>
      <c r="B8" s="51">
        <f t="shared" ref="B8:E8" si="2">COUNTIF($L$12:$L$1005,B$5)</f>
        <v>7</v>
      </c>
      <c r="C8" s="51">
        <f t="shared" si="2"/>
        <v>0</v>
      </c>
      <c r="D8" s="51">
        <f t="shared" si="2"/>
        <v>0</v>
      </c>
      <c r="E8" s="51">
        <f t="shared" si="2"/>
        <v>0</v>
      </c>
      <c r="F8" s="24"/>
      <c r="G8" s="24"/>
      <c r="H8" s="22"/>
      <c r="I8" s="24"/>
      <c r="J8" s="24"/>
      <c r="K8" s="22"/>
      <c r="L8" s="24"/>
      <c r="M8" s="24"/>
      <c r="N8" s="22"/>
      <c r="O8" s="22"/>
      <c r="P8" s="22"/>
      <c r="Q8" s="23"/>
      <c r="R8" s="20"/>
      <c r="S8" s="20"/>
      <c r="T8" s="20"/>
      <c r="U8" s="20"/>
      <c r="V8" s="20"/>
      <c r="W8" s="20"/>
      <c r="X8" s="20"/>
      <c r="Y8" s="20"/>
      <c r="Z8" s="20"/>
    </row>
    <row r="9" spans="1:26" ht="12" customHeight="1" x14ac:dyDescent="0.25">
      <c r="A9" s="22"/>
      <c r="B9" s="22"/>
      <c r="C9" s="22"/>
      <c r="D9" s="22"/>
      <c r="E9" s="22"/>
      <c r="F9" s="14"/>
      <c r="G9" s="22"/>
      <c r="H9" s="22"/>
      <c r="I9" s="14"/>
      <c r="J9" s="22"/>
      <c r="K9" s="22"/>
      <c r="L9" s="14"/>
      <c r="M9" s="22"/>
      <c r="N9" s="22"/>
      <c r="O9" s="22"/>
      <c r="P9" s="22"/>
      <c r="Q9" s="23"/>
      <c r="R9" s="20"/>
      <c r="S9" s="20"/>
      <c r="T9" s="20"/>
      <c r="U9" s="20"/>
      <c r="V9" s="20"/>
      <c r="W9" s="20"/>
      <c r="X9" s="20"/>
      <c r="Y9" s="20"/>
      <c r="Z9" s="20"/>
    </row>
    <row r="10" spans="1:26" ht="20.399999999999999" customHeight="1" x14ac:dyDescent="0.25">
      <c r="A10" s="54" t="s">
        <v>364</v>
      </c>
      <c r="B10" s="54" t="s">
        <v>365</v>
      </c>
      <c r="C10" s="54" t="s">
        <v>366</v>
      </c>
      <c r="D10" s="54" t="s">
        <v>367</v>
      </c>
      <c r="E10" s="54" t="s">
        <v>368</v>
      </c>
      <c r="F10" s="54" t="s">
        <v>361</v>
      </c>
      <c r="G10" s="54" t="s">
        <v>369</v>
      </c>
      <c r="H10" s="54" t="s">
        <v>370</v>
      </c>
      <c r="I10" s="54" t="s">
        <v>362</v>
      </c>
      <c r="J10" s="54" t="s">
        <v>369</v>
      </c>
      <c r="K10" s="54" t="s">
        <v>370</v>
      </c>
      <c r="L10" s="54" t="s">
        <v>363</v>
      </c>
      <c r="M10" s="54" t="s">
        <v>369</v>
      </c>
      <c r="N10" s="54" t="s">
        <v>370</v>
      </c>
      <c r="O10" s="54" t="s">
        <v>371</v>
      </c>
      <c r="P10" s="20"/>
      <c r="Q10" s="25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31.2" customHeight="1" x14ac:dyDescent="0.25">
      <c r="A11" s="55" t="s">
        <v>440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20"/>
      <c r="Q11" s="26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94.35" hidden="1" customHeight="1" x14ac:dyDescent="0.2">
      <c r="A12" s="56" t="s">
        <v>441</v>
      </c>
      <c r="B12" s="56" t="s">
        <v>194</v>
      </c>
      <c r="C12" s="56" t="s">
        <v>442</v>
      </c>
      <c r="D12" s="56" t="s">
        <v>195</v>
      </c>
      <c r="E12" s="56" t="s">
        <v>196</v>
      </c>
      <c r="F12" s="56" t="s">
        <v>24</v>
      </c>
      <c r="G12" s="72">
        <v>46235</v>
      </c>
      <c r="H12" s="56" t="s">
        <v>375</v>
      </c>
      <c r="I12" s="56" t="s">
        <v>24</v>
      </c>
      <c r="J12" s="72">
        <v>46242</v>
      </c>
      <c r="K12" s="56" t="s">
        <v>375</v>
      </c>
      <c r="L12" s="56" t="s">
        <v>24</v>
      </c>
      <c r="M12" s="72">
        <v>46249</v>
      </c>
      <c r="N12" s="56" t="s">
        <v>375</v>
      </c>
      <c r="O12" s="56"/>
      <c r="P12" s="35"/>
      <c r="Q12" s="36"/>
      <c r="R12" s="35"/>
      <c r="S12" s="35"/>
      <c r="T12" s="35"/>
      <c r="U12" s="35"/>
      <c r="V12" s="35"/>
      <c r="W12" s="35"/>
      <c r="X12" s="35"/>
      <c r="Y12" s="35"/>
      <c r="Z12" s="35"/>
    </row>
    <row r="13" spans="1:26" ht="19.2" hidden="1" customHeight="1" x14ac:dyDescent="0.25">
      <c r="A13" s="60" t="s">
        <v>443</v>
      </c>
      <c r="B13" s="60"/>
      <c r="C13" s="60"/>
      <c r="D13" s="60"/>
      <c r="E13" s="60"/>
      <c r="F13" s="60"/>
      <c r="G13" s="65"/>
      <c r="H13" s="60"/>
      <c r="I13" s="60"/>
      <c r="J13" s="65"/>
      <c r="K13" s="60"/>
      <c r="L13" s="60"/>
      <c r="M13" s="65"/>
      <c r="N13" s="60"/>
      <c r="O13" s="60"/>
      <c r="P13" s="4"/>
      <c r="Q13" s="30"/>
      <c r="R13" s="4"/>
      <c r="S13" s="4"/>
      <c r="T13" s="4"/>
      <c r="U13" s="4"/>
      <c r="V13" s="4"/>
      <c r="W13" s="4"/>
      <c r="X13" s="4"/>
      <c r="Y13" s="4"/>
      <c r="Z13" s="4"/>
    </row>
    <row r="14" spans="1:26" ht="94.35" customHeight="1" x14ac:dyDescent="0.25">
      <c r="A14" s="58" t="s">
        <v>444</v>
      </c>
      <c r="B14" s="58" t="s">
        <v>197</v>
      </c>
      <c r="C14" s="58" t="s">
        <v>445</v>
      </c>
      <c r="D14" s="58" t="s">
        <v>198</v>
      </c>
      <c r="E14" s="58" t="s">
        <v>199</v>
      </c>
      <c r="F14" s="58" t="s">
        <v>24</v>
      </c>
      <c r="G14" s="64">
        <v>46235</v>
      </c>
      <c r="H14" s="58" t="s">
        <v>375</v>
      </c>
      <c r="I14" s="58" t="s">
        <v>24</v>
      </c>
      <c r="J14" s="64">
        <v>46242</v>
      </c>
      <c r="K14" s="58" t="s">
        <v>375</v>
      </c>
      <c r="L14" s="58" t="s">
        <v>24</v>
      </c>
      <c r="M14" s="64">
        <v>46249</v>
      </c>
      <c r="N14" s="58" t="s">
        <v>375</v>
      </c>
      <c r="O14" s="58"/>
      <c r="P14" s="20"/>
      <c r="Q14" s="26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94.35" customHeight="1" x14ac:dyDescent="0.25">
      <c r="A15" s="56" t="s">
        <v>446</v>
      </c>
      <c r="B15" s="56" t="s">
        <v>200</v>
      </c>
      <c r="C15" s="56" t="s">
        <v>447</v>
      </c>
      <c r="D15" s="57" t="s">
        <v>201</v>
      </c>
      <c r="E15" s="57" t="s">
        <v>202</v>
      </c>
      <c r="F15" s="56" t="s">
        <v>24</v>
      </c>
      <c r="G15" s="63">
        <v>46235</v>
      </c>
      <c r="H15" s="56" t="s">
        <v>375</v>
      </c>
      <c r="I15" s="56" t="s">
        <v>24</v>
      </c>
      <c r="J15" s="63">
        <v>46242</v>
      </c>
      <c r="K15" s="56" t="s">
        <v>375</v>
      </c>
      <c r="L15" s="56" t="s">
        <v>24</v>
      </c>
      <c r="M15" s="63">
        <v>46249</v>
      </c>
      <c r="N15" s="56" t="s">
        <v>375</v>
      </c>
      <c r="O15" s="56"/>
      <c r="P15" s="4"/>
      <c r="Q15" s="30"/>
      <c r="R15" s="4"/>
      <c r="S15" s="4"/>
      <c r="T15" s="4"/>
      <c r="U15" s="4"/>
      <c r="V15" s="4"/>
      <c r="W15" s="4"/>
      <c r="X15" s="4"/>
      <c r="Y15" s="4"/>
      <c r="Z15" s="4"/>
    </row>
    <row r="16" spans="1:26" ht="94.35" customHeight="1" x14ac:dyDescent="0.25">
      <c r="A16" s="56" t="s">
        <v>448</v>
      </c>
      <c r="B16" s="56" t="s">
        <v>203</v>
      </c>
      <c r="C16" s="56" t="s">
        <v>449</v>
      </c>
      <c r="D16" s="57" t="s">
        <v>204</v>
      </c>
      <c r="E16" s="57" t="s">
        <v>205</v>
      </c>
      <c r="F16" s="56" t="s">
        <v>24</v>
      </c>
      <c r="G16" s="63">
        <v>46235</v>
      </c>
      <c r="H16" s="56" t="s">
        <v>375</v>
      </c>
      <c r="I16" s="56" t="s">
        <v>24</v>
      </c>
      <c r="J16" s="63">
        <v>46242</v>
      </c>
      <c r="K16" s="56" t="s">
        <v>375</v>
      </c>
      <c r="L16" s="56" t="s">
        <v>24</v>
      </c>
      <c r="M16" s="63">
        <v>46249</v>
      </c>
      <c r="N16" s="56" t="s">
        <v>375</v>
      </c>
      <c r="O16" s="56"/>
      <c r="P16" s="4"/>
      <c r="Q16" s="30"/>
      <c r="R16" s="4"/>
      <c r="S16" s="4"/>
      <c r="T16" s="4"/>
      <c r="U16" s="4"/>
      <c r="V16" s="4"/>
      <c r="W16" s="4"/>
      <c r="X16" s="4"/>
      <c r="Y16" s="4"/>
      <c r="Z16" s="4"/>
    </row>
    <row r="17" spans="1:26" ht="46.8" customHeight="1" x14ac:dyDescent="0.25">
      <c r="A17" s="55" t="s">
        <v>450</v>
      </c>
      <c r="B17" s="55"/>
      <c r="C17" s="55"/>
      <c r="D17" s="55"/>
      <c r="E17" s="55"/>
      <c r="F17" s="55"/>
      <c r="G17" s="74"/>
      <c r="H17" s="55"/>
      <c r="I17" s="55"/>
      <c r="J17" s="74"/>
      <c r="K17" s="55"/>
      <c r="L17" s="55"/>
      <c r="M17" s="74"/>
      <c r="N17" s="55"/>
      <c r="O17" s="55"/>
      <c r="P17" s="20"/>
      <c r="Q17" s="26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94.35" customHeight="1" x14ac:dyDescent="0.25">
      <c r="A18" s="56" t="s">
        <v>451</v>
      </c>
      <c r="B18" s="56" t="s">
        <v>206</v>
      </c>
      <c r="C18" s="56" t="s">
        <v>452</v>
      </c>
      <c r="D18" s="57" t="s">
        <v>207</v>
      </c>
      <c r="E18" s="57" t="s">
        <v>208</v>
      </c>
      <c r="F18" s="56" t="s">
        <v>24</v>
      </c>
      <c r="G18" s="63">
        <v>46235</v>
      </c>
      <c r="H18" s="56" t="s">
        <v>375</v>
      </c>
      <c r="I18" s="56" t="s">
        <v>24</v>
      </c>
      <c r="J18" s="63">
        <v>46242</v>
      </c>
      <c r="K18" s="56" t="s">
        <v>375</v>
      </c>
      <c r="L18" s="56" t="s">
        <v>24</v>
      </c>
      <c r="M18" s="63">
        <v>46249</v>
      </c>
      <c r="N18" s="56" t="s">
        <v>375</v>
      </c>
      <c r="O18" s="56"/>
      <c r="P18" s="4"/>
      <c r="Q18" s="30"/>
      <c r="R18" s="4"/>
      <c r="S18" s="4"/>
      <c r="T18" s="4"/>
      <c r="U18" s="4"/>
      <c r="V18" s="4"/>
      <c r="W18" s="4"/>
      <c r="X18" s="4"/>
      <c r="Y18" s="4"/>
      <c r="Z18" s="4"/>
    </row>
    <row r="19" spans="1:26" ht="94.35" customHeight="1" x14ac:dyDescent="0.25">
      <c r="A19" s="56" t="s">
        <v>453</v>
      </c>
      <c r="B19" s="56" t="s">
        <v>209</v>
      </c>
      <c r="C19" s="56" t="s">
        <v>454</v>
      </c>
      <c r="D19" s="57" t="s">
        <v>210</v>
      </c>
      <c r="E19" s="57" t="s">
        <v>211</v>
      </c>
      <c r="F19" s="56" t="s">
        <v>24</v>
      </c>
      <c r="G19" s="63">
        <v>46235</v>
      </c>
      <c r="H19" s="56" t="s">
        <v>375</v>
      </c>
      <c r="I19" s="56" t="s">
        <v>24</v>
      </c>
      <c r="J19" s="63">
        <v>46242</v>
      </c>
      <c r="K19" s="56" t="s">
        <v>375</v>
      </c>
      <c r="L19" s="56" t="s">
        <v>24</v>
      </c>
      <c r="M19" s="63">
        <v>46249</v>
      </c>
      <c r="N19" s="56" t="s">
        <v>375</v>
      </c>
      <c r="O19" s="56"/>
      <c r="P19" s="4"/>
      <c r="Q19" s="30"/>
      <c r="R19" s="4"/>
      <c r="S19" s="4"/>
      <c r="T19" s="4"/>
      <c r="U19" s="4"/>
      <c r="V19" s="4"/>
      <c r="W19" s="4"/>
      <c r="X19" s="4"/>
      <c r="Y19" s="4"/>
      <c r="Z19" s="4"/>
    </row>
    <row r="20" spans="1:26" ht="30" customHeight="1" x14ac:dyDescent="0.25">
      <c r="A20" s="55" t="s">
        <v>455</v>
      </c>
      <c r="B20" s="55"/>
      <c r="C20" s="55"/>
      <c r="D20" s="55"/>
      <c r="E20" s="55"/>
      <c r="F20" s="55"/>
      <c r="G20" s="74"/>
      <c r="H20" s="55"/>
      <c r="I20" s="55"/>
      <c r="J20" s="74"/>
      <c r="K20" s="55"/>
      <c r="L20" s="55"/>
      <c r="M20" s="74"/>
      <c r="N20" s="55"/>
      <c r="O20" s="55"/>
      <c r="P20" s="20"/>
      <c r="Q20" s="26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94.35" customHeight="1" x14ac:dyDescent="0.25">
      <c r="A21" s="56" t="s">
        <v>456</v>
      </c>
      <c r="B21" s="56" t="s">
        <v>212</v>
      </c>
      <c r="C21" s="56" t="s">
        <v>457</v>
      </c>
      <c r="D21" s="57" t="s">
        <v>213</v>
      </c>
      <c r="E21" s="57" t="s">
        <v>214</v>
      </c>
      <c r="F21" s="56" t="s">
        <v>24</v>
      </c>
      <c r="G21" s="63">
        <v>46235</v>
      </c>
      <c r="H21" s="56" t="s">
        <v>375</v>
      </c>
      <c r="I21" s="56" t="s">
        <v>24</v>
      </c>
      <c r="J21" s="63">
        <v>46242</v>
      </c>
      <c r="K21" s="56" t="s">
        <v>375</v>
      </c>
      <c r="L21" s="56" t="s">
        <v>24</v>
      </c>
      <c r="M21" s="63">
        <v>46249</v>
      </c>
      <c r="N21" s="56" t="s">
        <v>375</v>
      </c>
      <c r="O21" s="56"/>
      <c r="P21" s="4"/>
      <c r="Q21" s="30"/>
      <c r="R21" s="4"/>
      <c r="S21" s="4"/>
      <c r="T21" s="4"/>
      <c r="U21" s="4"/>
      <c r="V21" s="4"/>
      <c r="W21" s="4"/>
      <c r="X21" s="4"/>
      <c r="Y21" s="4"/>
      <c r="Z21" s="4"/>
    </row>
    <row r="22" spans="1:26" ht="94.35" customHeight="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4"/>
      <c r="Q22" s="15"/>
      <c r="R22" s="4"/>
      <c r="S22" s="4"/>
      <c r="T22" s="4"/>
      <c r="U22" s="4"/>
      <c r="V22" s="4"/>
      <c r="W22" s="4"/>
      <c r="X22" s="4"/>
      <c r="Y22" s="4"/>
      <c r="Z22" s="4"/>
    </row>
    <row r="23" spans="1:26" ht="94.35" customHeight="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4"/>
      <c r="Q23" s="15"/>
      <c r="R23" s="4"/>
      <c r="S23" s="4"/>
      <c r="T23" s="4"/>
      <c r="U23" s="4"/>
      <c r="V23" s="4"/>
      <c r="W23" s="4"/>
      <c r="X23" s="4"/>
      <c r="Y23" s="4"/>
      <c r="Z23" s="4"/>
    </row>
    <row r="24" spans="1:26" ht="94.35" customHeight="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4"/>
      <c r="Q24" s="15"/>
      <c r="R24" s="4"/>
      <c r="S24" s="4"/>
      <c r="T24" s="4"/>
      <c r="U24" s="4"/>
      <c r="V24" s="4"/>
      <c r="W24" s="4"/>
      <c r="X24" s="4"/>
      <c r="Y24" s="4"/>
      <c r="Z24" s="4"/>
    </row>
    <row r="25" spans="1:26" ht="94.35" customHeight="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4"/>
      <c r="Q25" s="15"/>
      <c r="R25" s="4"/>
      <c r="S25" s="4"/>
      <c r="T25" s="4"/>
      <c r="U25" s="4"/>
      <c r="V25" s="4"/>
      <c r="W25" s="4"/>
      <c r="X25" s="4"/>
      <c r="Y25" s="4"/>
      <c r="Z25" s="4"/>
    </row>
    <row r="26" spans="1:26" ht="94.35" customHeight="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4"/>
      <c r="Q26" s="15"/>
      <c r="R26" s="4"/>
      <c r="S26" s="4"/>
      <c r="T26" s="4"/>
      <c r="U26" s="4"/>
      <c r="V26" s="4"/>
      <c r="W26" s="4"/>
      <c r="X26" s="4"/>
      <c r="Y26" s="4"/>
      <c r="Z26" s="4"/>
    </row>
    <row r="27" spans="1:26" ht="94.35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4"/>
      <c r="Q27" s="15"/>
      <c r="R27" s="4"/>
      <c r="S27" s="4"/>
      <c r="T27" s="4"/>
      <c r="U27" s="4"/>
      <c r="V27" s="4"/>
      <c r="W27" s="4"/>
      <c r="X27" s="4"/>
      <c r="Y27" s="4"/>
      <c r="Z27" s="4"/>
    </row>
    <row r="28" spans="1:26" ht="94.3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4"/>
      <c r="Q28" s="15"/>
      <c r="R28" s="4"/>
      <c r="S28" s="4"/>
      <c r="T28" s="4"/>
      <c r="U28" s="4"/>
      <c r="V28" s="4"/>
      <c r="W28" s="4"/>
      <c r="X28" s="4"/>
      <c r="Y28" s="4"/>
      <c r="Z28" s="4"/>
    </row>
    <row r="29" spans="1:26" ht="94.3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4"/>
      <c r="Q29" s="15"/>
      <c r="R29" s="4"/>
      <c r="S29" s="4"/>
      <c r="T29" s="4"/>
      <c r="U29" s="4"/>
      <c r="V29" s="4"/>
      <c r="W29" s="4"/>
      <c r="X29" s="4"/>
      <c r="Y29" s="4"/>
      <c r="Z29" s="4"/>
    </row>
    <row r="30" spans="1:26" ht="94.35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4"/>
      <c r="Q30" s="15"/>
      <c r="R30" s="4"/>
      <c r="S30" s="4"/>
      <c r="T30" s="4"/>
      <c r="U30" s="4"/>
      <c r="V30" s="4"/>
      <c r="W30" s="4"/>
      <c r="X30" s="4"/>
      <c r="Y30" s="4"/>
      <c r="Z30" s="4"/>
    </row>
    <row r="31" spans="1:26" ht="94.3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4"/>
      <c r="Q31" s="15"/>
      <c r="R31" s="4"/>
      <c r="S31" s="4"/>
      <c r="T31" s="4"/>
      <c r="U31" s="4"/>
      <c r="V31" s="4"/>
      <c r="W31" s="4"/>
      <c r="X31" s="4"/>
      <c r="Y31" s="4"/>
      <c r="Z31" s="4"/>
    </row>
    <row r="32" spans="1:26" ht="94.3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4"/>
      <c r="Q32" s="15"/>
      <c r="R32" s="4"/>
      <c r="S32" s="4"/>
      <c r="T32" s="4"/>
      <c r="U32" s="4"/>
      <c r="V32" s="4"/>
      <c r="W32" s="4"/>
      <c r="X32" s="4"/>
      <c r="Y32" s="4"/>
      <c r="Z32" s="4"/>
    </row>
    <row r="33" spans="1:26" ht="94.3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4"/>
      <c r="Q33" s="15"/>
      <c r="R33" s="4"/>
      <c r="S33" s="4"/>
      <c r="T33" s="4"/>
      <c r="U33" s="4"/>
      <c r="V33" s="4"/>
      <c r="W33" s="4"/>
      <c r="X33" s="4"/>
      <c r="Y33" s="4"/>
      <c r="Z33" s="4"/>
    </row>
    <row r="34" spans="1:26" ht="94.3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4"/>
      <c r="Q34" s="15"/>
      <c r="R34" s="4"/>
      <c r="S34" s="4"/>
      <c r="T34" s="4"/>
      <c r="U34" s="4"/>
      <c r="V34" s="4"/>
      <c r="W34" s="4"/>
      <c r="X34" s="4"/>
      <c r="Y34" s="4"/>
      <c r="Z34" s="4"/>
    </row>
    <row r="35" spans="1:26" ht="94.3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4"/>
      <c r="Q35" s="15"/>
      <c r="R35" s="4"/>
      <c r="S35" s="4"/>
      <c r="T35" s="4"/>
      <c r="U35" s="4"/>
      <c r="V35" s="4"/>
      <c r="W35" s="4"/>
      <c r="X35" s="4"/>
      <c r="Y35" s="4"/>
      <c r="Z35" s="4"/>
    </row>
    <row r="36" spans="1:26" ht="94.35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4"/>
      <c r="Q36" s="15"/>
      <c r="R36" s="4"/>
      <c r="S36" s="4"/>
      <c r="T36" s="4"/>
      <c r="U36" s="4"/>
      <c r="V36" s="4"/>
      <c r="W36" s="4"/>
      <c r="X36" s="4"/>
      <c r="Y36" s="4"/>
      <c r="Z36" s="4"/>
    </row>
    <row r="37" spans="1:26" ht="94.35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4"/>
      <c r="Q37" s="15"/>
      <c r="R37" s="4"/>
      <c r="S37" s="4"/>
      <c r="T37" s="4"/>
      <c r="U37" s="4"/>
      <c r="V37" s="4"/>
      <c r="W37" s="4"/>
      <c r="X37" s="4"/>
      <c r="Y37" s="4"/>
      <c r="Z37" s="4"/>
    </row>
    <row r="38" spans="1:26" ht="94.35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4"/>
      <c r="Q38" s="15"/>
      <c r="R38" s="4"/>
      <c r="S38" s="4"/>
      <c r="T38" s="4"/>
      <c r="U38" s="4"/>
      <c r="V38" s="4"/>
      <c r="W38" s="4"/>
      <c r="X38" s="4"/>
      <c r="Y38" s="4"/>
      <c r="Z38" s="4"/>
    </row>
    <row r="39" spans="1:26" ht="94.3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4"/>
      <c r="Q39" s="15"/>
      <c r="R39" s="4"/>
      <c r="S39" s="4"/>
      <c r="T39" s="4"/>
      <c r="U39" s="4"/>
      <c r="V39" s="4"/>
      <c r="W39" s="4"/>
      <c r="X39" s="4"/>
      <c r="Y39" s="4"/>
      <c r="Z39" s="4"/>
    </row>
    <row r="40" spans="1:26" ht="94.3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4"/>
      <c r="Q40" s="15"/>
      <c r="R40" s="4"/>
      <c r="S40" s="4"/>
      <c r="T40" s="4"/>
      <c r="U40" s="4"/>
      <c r="V40" s="4"/>
      <c r="W40" s="4"/>
      <c r="X40" s="4"/>
      <c r="Y40" s="4"/>
      <c r="Z40" s="4"/>
    </row>
    <row r="41" spans="1:26" ht="94.3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4"/>
      <c r="Q41" s="15"/>
      <c r="R41" s="4"/>
      <c r="S41" s="4"/>
      <c r="T41" s="4"/>
      <c r="U41" s="4"/>
      <c r="V41" s="4"/>
      <c r="W41" s="4"/>
      <c r="X41" s="4"/>
      <c r="Y41" s="4"/>
      <c r="Z41" s="4"/>
    </row>
    <row r="42" spans="1:26" ht="94.3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4"/>
      <c r="Q42" s="15"/>
      <c r="R42" s="4"/>
      <c r="S42" s="4"/>
      <c r="T42" s="4"/>
      <c r="U42" s="4"/>
      <c r="V42" s="4"/>
      <c r="W42" s="4"/>
      <c r="X42" s="4"/>
      <c r="Y42" s="4"/>
      <c r="Z42" s="4"/>
    </row>
    <row r="43" spans="1:26" ht="94.35" customHeight="1" x14ac:dyDescent="0.2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4"/>
      <c r="Q43" s="15"/>
      <c r="R43" s="4"/>
      <c r="S43" s="4"/>
      <c r="T43" s="4"/>
      <c r="U43" s="4"/>
      <c r="V43" s="4"/>
      <c r="W43" s="4"/>
      <c r="X43" s="4"/>
      <c r="Y43" s="4"/>
      <c r="Z43" s="4"/>
    </row>
    <row r="44" spans="1:26" ht="94.35" customHeight="1" x14ac:dyDescent="0.2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4"/>
      <c r="Q44" s="15"/>
      <c r="R44" s="4"/>
      <c r="S44" s="4"/>
      <c r="T44" s="4"/>
      <c r="U44" s="4"/>
      <c r="V44" s="4"/>
      <c r="W44" s="4"/>
      <c r="X44" s="4"/>
      <c r="Y44" s="4"/>
      <c r="Z44" s="4"/>
    </row>
    <row r="45" spans="1:26" ht="94.35" customHeight="1" x14ac:dyDescent="0.2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4"/>
      <c r="Q45" s="15"/>
      <c r="R45" s="4"/>
      <c r="S45" s="4"/>
      <c r="T45" s="4"/>
      <c r="U45" s="4"/>
      <c r="V45" s="4"/>
      <c r="W45" s="4"/>
      <c r="X45" s="4"/>
      <c r="Y45" s="4"/>
      <c r="Z45" s="4"/>
    </row>
    <row r="46" spans="1:26" ht="94.35" customHeight="1" x14ac:dyDescent="0.2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4"/>
      <c r="Q46" s="15"/>
      <c r="R46" s="4"/>
      <c r="S46" s="4"/>
      <c r="T46" s="4"/>
      <c r="U46" s="4"/>
      <c r="V46" s="4"/>
      <c r="W46" s="4"/>
      <c r="X46" s="4"/>
      <c r="Y46" s="4"/>
      <c r="Z46" s="4"/>
    </row>
    <row r="47" spans="1:26" ht="94.35" customHeight="1" x14ac:dyDescent="0.2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4"/>
      <c r="Q47" s="15"/>
      <c r="R47" s="4"/>
      <c r="S47" s="4"/>
      <c r="T47" s="4"/>
      <c r="U47" s="4"/>
      <c r="V47" s="4"/>
      <c r="W47" s="4"/>
      <c r="X47" s="4"/>
      <c r="Y47" s="4"/>
      <c r="Z47" s="4"/>
    </row>
    <row r="48" spans="1:26" ht="94.35" customHeight="1" x14ac:dyDescent="0.2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4"/>
      <c r="Q48" s="15"/>
      <c r="R48" s="4"/>
      <c r="S48" s="4"/>
      <c r="T48" s="4"/>
      <c r="U48" s="4"/>
      <c r="V48" s="4"/>
      <c r="W48" s="4"/>
      <c r="X48" s="4"/>
      <c r="Y48" s="4"/>
      <c r="Z48" s="4"/>
    </row>
    <row r="49" spans="1:26" ht="94.35" customHeight="1" x14ac:dyDescent="0.2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4"/>
      <c r="Q49" s="15"/>
      <c r="R49" s="4"/>
      <c r="S49" s="4"/>
      <c r="T49" s="4"/>
      <c r="U49" s="4"/>
      <c r="V49" s="4"/>
      <c r="W49" s="4"/>
      <c r="X49" s="4"/>
      <c r="Y49" s="4"/>
      <c r="Z49" s="4"/>
    </row>
    <row r="50" spans="1:26" ht="94.35" customHeight="1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4"/>
      <c r="Q50" s="15"/>
      <c r="R50" s="4"/>
      <c r="S50" s="4"/>
      <c r="T50" s="4"/>
      <c r="U50" s="4"/>
      <c r="V50" s="4"/>
      <c r="W50" s="4"/>
      <c r="X50" s="4"/>
      <c r="Y50" s="4"/>
      <c r="Z50" s="4"/>
    </row>
    <row r="51" spans="1:26" ht="94.35" customHeight="1" x14ac:dyDescent="0.2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4"/>
      <c r="Q51" s="15"/>
      <c r="R51" s="4"/>
      <c r="S51" s="4"/>
      <c r="T51" s="4"/>
      <c r="U51" s="4"/>
      <c r="V51" s="4"/>
      <c r="W51" s="4"/>
      <c r="X51" s="4"/>
      <c r="Y51" s="4"/>
      <c r="Z51" s="4"/>
    </row>
    <row r="52" spans="1:26" ht="94.35" customHeight="1" x14ac:dyDescent="0.2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4"/>
      <c r="Q52" s="15"/>
      <c r="R52" s="4"/>
      <c r="S52" s="4"/>
      <c r="T52" s="4"/>
      <c r="U52" s="4"/>
      <c r="V52" s="4"/>
      <c r="W52" s="4"/>
      <c r="X52" s="4"/>
      <c r="Y52" s="4"/>
      <c r="Z52" s="4"/>
    </row>
    <row r="53" spans="1:26" ht="94.35" customHeight="1" x14ac:dyDescent="0.2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4"/>
      <c r="Q53" s="15"/>
      <c r="R53" s="4"/>
      <c r="S53" s="4"/>
      <c r="T53" s="4"/>
      <c r="U53" s="4"/>
      <c r="V53" s="4"/>
      <c r="W53" s="4"/>
      <c r="X53" s="4"/>
      <c r="Y53" s="4"/>
      <c r="Z53" s="4"/>
    </row>
    <row r="54" spans="1:26" ht="94.35" customHeight="1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4"/>
      <c r="Q54" s="15"/>
      <c r="R54" s="4"/>
      <c r="S54" s="4"/>
      <c r="T54" s="4"/>
      <c r="U54" s="4"/>
      <c r="V54" s="4"/>
      <c r="W54" s="4"/>
      <c r="X54" s="4"/>
      <c r="Y54" s="4"/>
      <c r="Z54" s="4"/>
    </row>
    <row r="55" spans="1:26" ht="94.35" customHeight="1" x14ac:dyDescent="0.2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4"/>
      <c r="Q55" s="15"/>
      <c r="R55" s="4"/>
      <c r="S55" s="4"/>
      <c r="T55" s="4"/>
      <c r="U55" s="4"/>
      <c r="V55" s="4"/>
      <c r="W55" s="4"/>
      <c r="X55" s="4"/>
      <c r="Y55" s="4"/>
      <c r="Z55" s="4"/>
    </row>
    <row r="56" spans="1:26" ht="94.35" customHeight="1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4"/>
      <c r="Q56" s="15"/>
      <c r="R56" s="4"/>
      <c r="S56" s="4"/>
      <c r="T56" s="4"/>
      <c r="U56" s="4"/>
      <c r="V56" s="4"/>
      <c r="W56" s="4"/>
      <c r="X56" s="4"/>
      <c r="Y56" s="4"/>
      <c r="Z56" s="4"/>
    </row>
    <row r="57" spans="1:26" ht="94.35" customHeight="1" x14ac:dyDescent="0.2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4"/>
      <c r="Q57" s="15"/>
      <c r="R57" s="4"/>
      <c r="S57" s="4"/>
      <c r="T57" s="4"/>
      <c r="U57" s="4"/>
      <c r="V57" s="4"/>
      <c r="W57" s="4"/>
      <c r="X57" s="4"/>
      <c r="Y57" s="4"/>
      <c r="Z57" s="4"/>
    </row>
    <row r="58" spans="1:26" ht="94.35" customHeight="1" x14ac:dyDescent="0.2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4"/>
      <c r="Q58" s="15"/>
      <c r="R58" s="4"/>
      <c r="S58" s="4"/>
      <c r="T58" s="4"/>
      <c r="U58" s="4"/>
      <c r="V58" s="4"/>
      <c r="W58" s="4"/>
      <c r="X58" s="4"/>
      <c r="Y58" s="4"/>
      <c r="Z58" s="4"/>
    </row>
    <row r="59" spans="1:26" ht="94.35" customHeight="1" x14ac:dyDescent="0.2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4"/>
      <c r="Q59" s="15"/>
      <c r="R59" s="4"/>
      <c r="S59" s="4"/>
      <c r="T59" s="4"/>
      <c r="U59" s="4"/>
      <c r="V59" s="4"/>
      <c r="W59" s="4"/>
      <c r="X59" s="4"/>
      <c r="Y59" s="4"/>
      <c r="Z59" s="4"/>
    </row>
    <row r="60" spans="1:26" ht="94.35" customHeight="1" x14ac:dyDescent="0.2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4"/>
      <c r="Q60" s="15"/>
      <c r="R60" s="4"/>
      <c r="S60" s="4"/>
      <c r="T60" s="4"/>
      <c r="U60" s="4"/>
      <c r="V60" s="4"/>
      <c r="W60" s="4"/>
      <c r="X60" s="4"/>
      <c r="Y60" s="4"/>
      <c r="Z60" s="4"/>
    </row>
    <row r="61" spans="1:26" ht="94.35" customHeight="1" x14ac:dyDescent="0.2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4"/>
      <c r="Q61" s="15"/>
      <c r="R61" s="4"/>
      <c r="S61" s="4"/>
      <c r="T61" s="4"/>
      <c r="U61" s="4"/>
      <c r="V61" s="4"/>
      <c r="W61" s="4"/>
      <c r="X61" s="4"/>
      <c r="Y61" s="4"/>
      <c r="Z61" s="4"/>
    </row>
    <row r="62" spans="1:26" ht="94.35" customHeight="1" x14ac:dyDescent="0.2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4"/>
      <c r="Q62" s="15"/>
      <c r="R62" s="4"/>
      <c r="S62" s="4"/>
      <c r="T62" s="4"/>
      <c r="U62" s="4"/>
      <c r="V62" s="4"/>
      <c r="W62" s="4"/>
      <c r="X62" s="4"/>
      <c r="Y62" s="4"/>
      <c r="Z62" s="4"/>
    </row>
    <row r="63" spans="1:26" ht="94.35" customHeight="1" x14ac:dyDescent="0.2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4"/>
      <c r="Q63" s="15"/>
      <c r="R63" s="4"/>
      <c r="S63" s="4"/>
      <c r="T63" s="4"/>
      <c r="U63" s="4"/>
      <c r="V63" s="4"/>
      <c r="W63" s="4"/>
      <c r="X63" s="4"/>
      <c r="Y63" s="4"/>
      <c r="Z63" s="4"/>
    </row>
    <row r="64" spans="1:26" ht="94.35" customHeight="1" x14ac:dyDescent="0.2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4"/>
      <c r="Q64" s="15"/>
      <c r="R64" s="4"/>
      <c r="S64" s="4"/>
      <c r="T64" s="4"/>
      <c r="U64" s="4"/>
      <c r="V64" s="4"/>
      <c r="W64" s="4"/>
      <c r="X64" s="4"/>
      <c r="Y64" s="4"/>
      <c r="Z64" s="4"/>
    </row>
    <row r="65" spans="1:26" ht="94.35" customHeight="1" x14ac:dyDescent="0.2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4"/>
      <c r="Q65" s="15"/>
      <c r="R65" s="4"/>
      <c r="S65" s="4"/>
      <c r="T65" s="4"/>
      <c r="U65" s="4"/>
      <c r="V65" s="4"/>
      <c r="W65" s="4"/>
      <c r="X65" s="4"/>
      <c r="Y65" s="4"/>
      <c r="Z65" s="4"/>
    </row>
    <row r="66" spans="1:26" ht="94.35" customHeight="1" x14ac:dyDescent="0.2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4"/>
      <c r="Q66" s="15"/>
      <c r="R66" s="4"/>
      <c r="S66" s="4"/>
      <c r="T66" s="4"/>
      <c r="U66" s="4"/>
      <c r="V66" s="4"/>
      <c r="W66" s="4"/>
      <c r="X66" s="4"/>
      <c r="Y66" s="4"/>
      <c r="Z66" s="4"/>
    </row>
    <row r="67" spans="1:26" ht="94.35" customHeight="1" x14ac:dyDescent="0.2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4"/>
      <c r="Q67" s="15"/>
      <c r="R67" s="4"/>
      <c r="S67" s="4"/>
      <c r="T67" s="4"/>
      <c r="U67" s="4"/>
      <c r="V67" s="4"/>
      <c r="W67" s="4"/>
      <c r="X67" s="4"/>
      <c r="Y67" s="4"/>
      <c r="Z67" s="4"/>
    </row>
    <row r="68" spans="1:26" ht="94.35" customHeight="1" x14ac:dyDescent="0.2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4"/>
      <c r="Q68" s="15"/>
      <c r="R68" s="4"/>
      <c r="S68" s="4"/>
      <c r="T68" s="4"/>
      <c r="U68" s="4"/>
      <c r="V68" s="4"/>
      <c r="W68" s="4"/>
      <c r="X68" s="4"/>
      <c r="Y68" s="4"/>
      <c r="Z68" s="4"/>
    </row>
    <row r="69" spans="1:26" ht="94.35" customHeight="1" x14ac:dyDescent="0.2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4"/>
      <c r="Q69" s="15"/>
      <c r="R69" s="4"/>
      <c r="S69" s="4"/>
      <c r="T69" s="4"/>
      <c r="U69" s="4"/>
      <c r="V69" s="4"/>
      <c r="W69" s="4"/>
      <c r="X69" s="4"/>
      <c r="Y69" s="4"/>
      <c r="Z69" s="4"/>
    </row>
    <row r="70" spans="1:26" ht="94.35" customHeight="1" x14ac:dyDescent="0.2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4"/>
      <c r="Q70" s="15"/>
      <c r="R70" s="4"/>
      <c r="S70" s="4"/>
      <c r="T70" s="4"/>
      <c r="U70" s="4"/>
      <c r="V70" s="4"/>
      <c r="W70" s="4"/>
      <c r="X70" s="4"/>
      <c r="Y70" s="4"/>
      <c r="Z70" s="4"/>
    </row>
    <row r="71" spans="1:26" ht="94.35" customHeight="1" x14ac:dyDescent="0.2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4"/>
      <c r="Q71" s="15"/>
      <c r="R71" s="4"/>
      <c r="S71" s="4"/>
      <c r="T71" s="4"/>
      <c r="U71" s="4"/>
      <c r="V71" s="4"/>
      <c r="W71" s="4"/>
      <c r="X71" s="4"/>
      <c r="Y71" s="4"/>
      <c r="Z71" s="4"/>
    </row>
    <row r="72" spans="1:26" ht="94.35" customHeight="1" x14ac:dyDescent="0.2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4"/>
      <c r="Q72" s="15"/>
      <c r="R72" s="4"/>
      <c r="S72" s="4"/>
      <c r="T72" s="4"/>
      <c r="U72" s="4"/>
      <c r="V72" s="4"/>
      <c r="W72" s="4"/>
      <c r="X72" s="4"/>
      <c r="Y72" s="4"/>
      <c r="Z72" s="4"/>
    </row>
    <row r="73" spans="1:26" ht="94.35" customHeight="1" x14ac:dyDescent="0.2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4"/>
      <c r="Q73" s="15"/>
      <c r="R73" s="4"/>
      <c r="S73" s="4"/>
      <c r="T73" s="4"/>
      <c r="U73" s="4"/>
      <c r="V73" s="4"/>
      <c r="W73" s="4"/>
      <c r="X73" s="4"/>
      <c r="Y73" s="4"/>
      <c r="Z73" s="4"/>
    </row>
    <row r="74" spans="1:26" ht="94.35" customHeight="1" x14ac:dyDescent="0.2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4"/>
      <c r="Q74" s="15"/>
      <c r="R74" s="4"/>
      <c r="S74" s="4"/>
      <c r="T74" s="4"/>
      <c r="U74" s="4"/>
      <c r="V74" s="4"/>
      <c r="W74" s="4"/>
      <c r="X74" s="4"/>
      <c r="Y74" s="4"/>
      <c r="Z74" s="4"/>
    </row>
    <row r="75" spans="1:26" ht="94.35" customHeight="1" x14ac:dyDescent="0.2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4"/>
      <c r="Q75" s="15"/>
      <c r="R75" s="4"/>
      <c r="S75" s="4"/>
      <c r="T75" s="4"/>
      <c r="U75" s="4"/>
      <c r="V75" s="4"/>
      <c r="W75" s="4"/>
      <c r="X75" s="4"/>
      <c r="Y75" s="4"/>
      <c r="Z75" s="4"/>
    </row>
    <row r="76" spans="1:26" ht="94.35" customHeight="1" x14ac:dyDescent="0.2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4"/>
      <c r="Q76" s="15"/>
      <c r="R76" s="4"/>
      <c r="S76" s="4"/>
      <c r="T76" s="4"/>
      <c r="U76" s="4"/>
      <c r="V76" s="4"/>
      <c r="W76" s="4"/>
      <c r="X76" s="4"/>
      <c r="Y76" s="4"/>
      <c r="Z76" s="4"/>
    </row>
    <row r="77" spans="1:26" ht="94.35" customHeight="1" x14ac:dyDescent="0.2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4"/>
      <c r="Q77" s="15"/>
      <c r="R77" s="4"/>
      <c r="S77" s="4"/>
      <c r="T77" s="4"/>
      <c r="U77" s="4"/>
      <c r="V77" s="4"/>
      <c r="W77" s="4"/>
      <c r="X77" s="4"/>
      <c r="Y77" s="4"/>
      <c r="Z77" s="4"/>
    </row>
    <row r="78" spans="1:26" ht="94.35" customHeight="1" x14ac:dyDescent="0.2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4"/>
      <c r="Q78" s="15"/>
      <c r="R78" s="4"/>
      <c r="S78" s="4"/>
      <c r="T78" s="4"/>
      <c r="U78" s="4"/>
      <c r="V78" s="4"/>
      <c r="W78" s="4"/>
      <c r="X78" s="4"/>
      <c r="Y78" s="4"/>
      <c r="Z78" s="4"/>
    </row>
    <row r="79" spans="1:26" ht="94.35" customHeight="1" x14ac:dyDescent="0.2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4"/>
      <c r="Q79" s="15"/>
      <c r="R79" s="4"/>
      <c r="S79" s="4"/>
      <c r="T79" s="4"/>
      <c r="U79" s="4"/>
      <c r="V79" s="4"/>
      <c r="W79" s="4"/>
      <c r="X79" s="4"/>
      <c r="Y79" s="4"/>
      <c r="Z79" s="4"/>
    </row>
    <row r="80" spans="1:26" ht="94.35" customHeight="1" x14ac:dyDescent="0.2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4"/>
      <c r="Q80" s="15"/>
      <c r="R80" s="4"/>
      <c r="S80" s="4"/>
      <c r="T80" s="4"/>
      <c r="U80" s="4"/>
      <c r="V80" s="4"/>
      <c r="W80" s="4"/>
      <c r="X80" s="4"/>
      <c r="Y80" s="4"/>
      <c r="Z80" s="4"/>
    </row>
    <row r="81" spans="1:26" ht="94.3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15"/>
      <c r="R81" s="4"/>
      <c r="S81" s="4"/>
      <c r="T81" s="4"/>
      <c r="U81" s="4"/>
      <c r="V81" s="4"/>
      <c r="W81" s="4"/>
      <c r="X81" s="4"/>
      <c r="Y81" s="4"/>
      <c r="Z81" s="4"/>
    </row>
    <row r="82" spans="1:26" ht="94.3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15"/>
      <c r="R82" s="4"/>
      <c r="S82" s="4"/>
      <c r="T82" s="4"/>
      <c r="U82" s="4"/>
      <c r="V82" s="4"/>
      <c r="W82" s="4"/>
      <c r="X82" s="4"/>
      <c r="Y82" s="4"/>
      <c r="Z82" s="4"/>
    </row>
    <row r="83" spans="1:26" ht="94.3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15"/>
      <c r="R83" s="4"/>
      <c r="S83" s="4"/>
      <c r="T83" s="4"/>
      <c r="U83" s="4"/>
      <c r="V83" s="4"/>
      <c r="W83" s="4"/>
      <c r="X83" s="4"/>
      <c r="Y83" s="4"/>
      <c r="Z83" s="4"/>
    </row>
    <row r="84" spans="1:26" ht="94.3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15"/>
      <c r="R84" s="4"/>
      <c r="S84" s="4"/>
      <c r="T84" s="4"/>
      <c r="U84" s="4"/>
      <c r="V84" s="4"/>
      <c r="W84" s="4"/>
      <c r="X84" s="4"/>
      <c r="Y84" s="4"/>
      <c r="Z84" s="4"/>
    </row>
    <row r="85" spans="1:26" ht="94.3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15"/>
      <c r="R85" s="4"/>
      <c r="S85" s="4"/>
      <c r="T85" s="4"/>
      <c r="U85" s="4"/>
      <c r="V85" s="4"/>
      <c r="W85" s="4"/>
      <c r="X85" s="4"/>
      <c r="Y85" s="4"/>
      <c r="Z85" s="4"/>
    </row>
    <row r="86" spans="1:26" ht="94.3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15"/>
      <c r="R86" s="4"/>
      <c r="S86" s="4"/>
      <c r="T86" s="4"/>
      <c r="U86" s="4"/>
      <c r="V86" s="4"/>
      <c r="W86" s="4"/>
      <c r="X86" s="4"/>
      <c r="Y86" s="4"/>
      <c r="Z86" s="4"/>
    </row>
    <row r="87" spans="1:26" ht="94.3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15"/>
      <c r="R87" s="4"/>
      <c r="S87" s="4"/>
      <c r="T87" s="4"/>
      <c r="U87" s="4"/>
      <c r="V87" s="4"/>
      <c r="W87" s="4"/>
      <c r="X87" s="4"/>
      <c r="Y87" s="4"/>
      <c r="Z87" s="4"/>
    </row>
    <row r="88" spans="1:26" ht="94.3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15"/>
      <c r="R88" s="4"/>
      <c r="S88" s="4"/>
      <c r="T88" s="4"/>
      <c r="U88" s="4"/>
      <c r="V88" s="4"/>
      <c r="W88" s="4"/>
      <c r="X88" s="4"/>
      <c r="Y88" s="4"/>
      <c r="Z88" s="4"/>
    </row>
    <row r="89" spans="1:26" ht="94.3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15"/>
      <c r="R89" s="4"/>
      <c r="S89" s="4"/>
      <c r="T89" s="4"/>
      <c r="U89" s="4"/>
      <c r="V89" s="4"/>
      <c r="W89" s="4"/>
      <c r="X89" s="4"/>
      <c r="Y89" s="4"/>
      <c r="Z89" s="4"/>
    </row>
    <row r="90" spans="1:26" ht="94.3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15"/>
      <c r="R90" s="4"/>
      <c r="S90" s="4"/>
      <c r="T90" s="4"/>
      <c r="U90" s="4"/>
      <c r="V90" s="4"/>
      <c r="W90" s="4"/>
      <c r="X90" s="4"/>
      <c r="Y90" s="4"/>
      <c r="Z90" s="4"/>
    </row>
    <row r="91" spans="1:26" ht="94.3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15"/>
      <c r="R91" s="4"/>
      <c r="S91" s="4"/>
      <c r="T91" s="4"/>
      <c r="U91" s="4"/>
      <c r="V91" s="4"/>
      <c r="W91" s="4"/>
      <c r="X91" s="4"/>
      <c r="Y91" s="4"/>
      <c r="Z91" s="4"/>
    </row>
    <row r="92" spans="1:26" ht="94.3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15"/>
      <c r="R92" s="4"/>
      <c r="S92" s="4"/>
      <c r="T92" s="4"/>
      <c r="U92" s="4"/>
      <c r="V92" s="4"/>
      <c r="W92" s="4"/>
      <c r="X92" s="4"/>
      <c r="Y92" s="4"/>
      <c r="Z92" s="4"/>
    </row>
    <row r="93" spans="1:26" ht="94.3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15"/>
      <c r="R93" s="4"/>
      <c r="S93" s="4"/>
      <c r="T93" s="4"/>
      <c r="U93" s="4"/>
      <c r="V93" s="4"/>
      <c r="W93" s="4"/>
      <c r="X93" s="4"/>
      <c r="Y93" s="4"/>
      <c r="Z93" s="4"/>
    </row>
    <row r="94" spans="1:26" ht="94.3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15"/>
      <c r="R94" s="4"/>
      <c r="S94" s="4"/>
      <c r="T94" s="4"/>
      <c r="U94" s="4"/>
      <c r="V94" s="4"/>
      <c r="W94" s="4"/>
      <c r="X94" s="4"/>
      <c r="Y94" s="4"/>
      <c r="Z94" s="4"/>
    </row>
    <row r="95" spans="1:26" ht="94.3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15"/>
      <c r="R95" s="4"/>
      <c r="S95" s="4"/>
      <c r="T95" s="4"/>
      <c r="U95" s="4"/>
      <c r="V95" s="4"/>
      <c r="W95" s="4"/>
      <c r="X95" s="4"/>
      <c r="Y95" s="4"/>
      <c r="Z95" s="4"/>
    </row>
    <row r="96" spans="1:26" ht="94.3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15"/>
      <c r="R96" s="4"/>
      <c r="S96" s="4"/>
      <c r="T96" s="4"/>
      <c r="U96" s="4"/>
      <c r="V96" s="4"/>
      <c r="W96" s="4"/>
      <c r="X96" s="4"/>
      <c r="Y96" s="4"/>
      <c r="Z96" s="4"/>
    </row>
    <row r="97" spans="1:26" ht="94.3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15"/>
      <c r="R97" s="4"/>
      <c r="S97" s="4"/>
      <c r="T97" s="4"/>
      <c r="U97" s="4"/>
      <c r="V97" s="4"/>
      <c r="W97" s="4"/>
      <c r="X97" s="4"/>
      <c r="Y97" s="4"/>
      <c r="Z97" s="4"/>
    </row>
    <row r="98" spans="1:26" ht="94.3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15"/>
      <c r="R98" s="4"/>
      <c r="S98" s="4"/>
      <c r="T98" s="4"/>
      <c r="U98" s="4"/>
      <c r="V98" s="4"/>
      <c r="W98" s="4"/>
      <c r="X98" s="4"/>
      <c r="Y98" s="4"/>
      <c r="Z98" s="4"/>
    </row>
    <row r="99" spans="1:26" ht="94.3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15"/>
      <c r="R99" s="4"/>
      <c r="S99" s="4"/>
      <c r="T99" s="4"/>
      <c r="U99" s="4"/>
      <c r="V99" s="4"/>
      <c r="W99" s="4"/>
      <c r="X99" s="4"/>
      <c r="Y99" s="4"/>
      <c r="Z99" s="4"/>
    </row>
    <row r="100" spans="1:26" ht="94.3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15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0.199999999999999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15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0.199999999999999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15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0.199999999999999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15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0.199999999999999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15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0.199999999999999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15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0.199999999999999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15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0.199999999999999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15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0.199999999999999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15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0.199999999999999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15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0.199999999999999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15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0.199999999999999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15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0.199999999999999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15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0.199999999999999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15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0.199999999999999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15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0.199999999999999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15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0.199999999999999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15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0.199999999999999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15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0.199999999999999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15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0.199999999999999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15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0.199999999999999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15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0.199999999999999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15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0.199999999999999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15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0.199999999999999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15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0.199999999999999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15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0.199999999999999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15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0.199999999999999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15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0.199999999999999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15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0.199999999999999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15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0.199999999999999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15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0.199999999999999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15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0.199999999999999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15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0.199999999999999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15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0.199999999999999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15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0.199999999999999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15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0.199999999999999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15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0.199999999999999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15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0.199999999999999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15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0.199999999999999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15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0.199999999999999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15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0.199999999999999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15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0.199999999999999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15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0.199999999999999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15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0.199999999999999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15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0.199999999999999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15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0.199999999999999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15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0.199999999999999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15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0.199999999999999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15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0.199999999999999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15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0.199999999999999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15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0.199999999999999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15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0.199999999999999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15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0.199999999999999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15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0.199999999999999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15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0.199999999999999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15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0.199999999999999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15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0.199999999999999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15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0.199999999999999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15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0.199999999999999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15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0.199999999999999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15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0.199999999999999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15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0.199999999999999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15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0.199999999999999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15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0.199999999999999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15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0.199999999999999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15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0.199999999999999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15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0.199999999999999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15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0.199999999999999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15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0.199999999999999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15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0.199999999999999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15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0.199999999999999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15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0.199999999999999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15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0.199999999999999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15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0.199999999999999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15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0.199999999999999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15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0.199999999999999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15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0.199999999999999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15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0.199999999999999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15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0.199999999999999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15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0.199999999999999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15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0.199999999999999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15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0.199999999999999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15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0.199999999999999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15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0.199999999999999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15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0.199999999999999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15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0.199999999999999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15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0.199999999999999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15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0.199999999999999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15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0.199999999999999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15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0.199999999999999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15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0.199999999999999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15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0.199999999999999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15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0.199999999999999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15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0.199999999999999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15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0.199999999999999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15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0.199999999999999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15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0.199999999999999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15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0.199999999999999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15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0.199999999999999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15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0.199999999999999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15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0.199999999999999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15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0.199999999999999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15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0.199999999999999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15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0.199999999999999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15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0.199999999999999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15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0.199999999999999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15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0.199999999999999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15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0.199999999999999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15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0.199999999999999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15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0.199999999999999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15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0.199999999999999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15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0.199999999999999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15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0.199999999999999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15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0.199999999999999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15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0.199999999999999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15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0.199999999999999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15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0.199999999999999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15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0.199999999999999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15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0.199999999999999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15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0.199999999999999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15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0.199999999999999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15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0.199999999999999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15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0.199999999999999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15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0.199999999999999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15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0.199999999999999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15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0.199999999999999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15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0.199999999999999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15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0.199999999999999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15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0.199999999999999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15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0.199999999999999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15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0.199999999999999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15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0.199999999999999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15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0.199999999999999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15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0.199999999999999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15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0.199999999999999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15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0.199999999999999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15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0.199999999999999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15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0.199999999999999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15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0.199999999999999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15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0.199999999999999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15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0.199999999999999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15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0.199999999999999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15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0.199999999999999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15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0.199999999999999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15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0.199999999999999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15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0.199999999999999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15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0.199999999999999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15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0.199999999999999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15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0.199999999999999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15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0.199999999999999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15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0.199999999999999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15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0.199999999999999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15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0.199999999999999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15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0.199999999999999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15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0.199999999999999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15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0.199999999999999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15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0.199999999999999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15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0.199999999999999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15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0.199999999999999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15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0.199999999999999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15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0.199999999999999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15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0.199999999999999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15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0.199999999999999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15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0.199999999999999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15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0.199999999999999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15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0.199999999999999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15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0.199999999999999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15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0.199999999999999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15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0.199999999999999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15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0.199999999999999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15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0.199999999999999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15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0.199999999999999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15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0.199999999999999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15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0.199999999999999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15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0.199999999999999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15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0.199999999999999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15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0.199999999999999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15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0.199999999999999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15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0.199999999999999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15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0.199999999999999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15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0.199999999999999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15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0.199999999999999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15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0.199999999999999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15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0.199999999999999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15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0.199999999999999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15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0.199999999999999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15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0.199999999999999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15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0.199999999999999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15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0.199999999999999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15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0.199999999999999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15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0.199999999999999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15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0.199999999999999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15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0.199999999999999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15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0.199999999999999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15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0.199999999999999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15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0.199999999999999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15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0.199999999999999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15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0.199999999999999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15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0.199999999999999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15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0.199999999999999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15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0.199999999999999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15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0.199999999999999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15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0.199999999999999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15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0.199999999999999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15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0.199999999999999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15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0.199999999999999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15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0.199999999999999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15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0.199999999999999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15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0.199999999999999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15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0.199999999999999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15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0.199999999999999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15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0.199999999999999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15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0.199999999999999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15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0.199999999999999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15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0.199999999999999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15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0.199999999999999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15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0.199999999999999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15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0.199999999999999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15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0.199999999999999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15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0.199999999999999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15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0.199999999999999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15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0.199999999999999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15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0.199999999999999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15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0.199999999999999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15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0.199999999999999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15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0.199999999999999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15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0.199999999999999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15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0.199999999999999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15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0.199999999999999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15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0.199999999999999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15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0.199999999999999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15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0.199999999999999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15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0.199999999999999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15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0.199999999999999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15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0.199999999999999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15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0.199999999999999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15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0.199999999999999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15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0.199999999999999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15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0.199999999999999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15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0.199999999999999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15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0.199999999999999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15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0.199999999999999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15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0.199999999999999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15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0.199999999999999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15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0.199999999999999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15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0.199999999999999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15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0.199999999999999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15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0.199999999999999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15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0.199999999999999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15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0.199999999999999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15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0.199999999999999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15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0.199999999999999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15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0.199999999999999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15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0.199999999999999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15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0.199999999999999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15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0.199999999999999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15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0.199999999999999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15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0.199999999999999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15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0.199999999999999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15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0.199999999999999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15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0.199999999999999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15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0.199999999999999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15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0.199999999999999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15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0.199999999999999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15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0.199999999999999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15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0.199999999999999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15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0.199999999999999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15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0.199999999999999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15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0.199999999999999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15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0.199999999999999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15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0.199999999999999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15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0.199999999999999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15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0.199999999999999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15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0.199999999999999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15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0.199999999999999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15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0.199999999999999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15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0.199999999999999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15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0.199999999999999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15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0.199999999999999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15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0.199999999999999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15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0.199999999999999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15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0.199999999999999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15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0.199999999999999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15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0.199999999999999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15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0.199999999999999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15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0.199999999999999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15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0.199999999999999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15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0.199999999999999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15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0.199999999999999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15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0.199999999999999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15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0.199999999999999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15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0.199999999999999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15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0.199999999999999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15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0.199999999999999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15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0.199999999999999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15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0.199999999999999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15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0.199999999999999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15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0.199999999999999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15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0.199999999999999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15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0.199999999999999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15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0.199999999999999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15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0.199999999999999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15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0.199999999999999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15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0.199999999999999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15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0.199999999999999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15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0.199999999999999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15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0.199999999999999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15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0.199999999999999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15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0.199999999999999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15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0.199999999999999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15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0.199999999999999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15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0.199999999999999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15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0.199999999999999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15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0.199999999999999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15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0.199999999999999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15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0.199999999999999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15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0.199999999999999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15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0.199999999999999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15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0.199999999999999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15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0.199999999999999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15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0.199999999999999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15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0.199999999999999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15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0.199999999999999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15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0.199999999999999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15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0.199999999999999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15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0.199999999999999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15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0.199999999999999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15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0.199999999999999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15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0.199999999999999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15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0.199999999999999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15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0.199999999999999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15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0.199999999999999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15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0.199999999999999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15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0.199999999999999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15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0.199999999999999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15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0.199999999999999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15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0.199999999999999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15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0.199999999999999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15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0.199999999999999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15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0.199999999999999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15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0.199999999999999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15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0.199999999999999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15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0.199999999999999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15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0.199999999999999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15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0.199999999999999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15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0.199999999999999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15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0.199999999999999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15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0.199999999999999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15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0.199999999999999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15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0.199999999999999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15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0.199999999999999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15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0.199999999999999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15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0.199999999999999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15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0.199999999999999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15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0.199999999999999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15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0.199999999999999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15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0.199999999999999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15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0.199999999999999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15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0.199999999999999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15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0.199999999999999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15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0.199999999999999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15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0.199999999999999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15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0.199999999999999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15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0.199999999999999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15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0.199999999999999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15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0.199999999999999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15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0.199999999999999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15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0.199999999999999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15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0.199999999999999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15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0.199999999999999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15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0.199999999999999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15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0.199999999999999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15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0.199999999999999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15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0.199999999999999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15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0.199999999999999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15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0.199999999999999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15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0.199999999999999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15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0.199999999999999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15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0.199999999999999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15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0.199999999999999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15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0.199999999999999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15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0.199999999999999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15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0.199999999999999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15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0.199999999999999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15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0.199999999999999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15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0.199999999999999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15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0.199999999999999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15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0.199999999999999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15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0.199999999999999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15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0.199999999999999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15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0.199999999999999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15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0.199999999999999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15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0.199999999999999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15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0.199999999999999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15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0.199999999999999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15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0.199999999999999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15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0.199999999999999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15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0.199999999999999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15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0.199999999999999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15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0.199999999999999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15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0.199999999999999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15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0.199999999999999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15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0.199999999999999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15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0.199999999999999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15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0.199999999999999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15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0.199999999999999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15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0.199999999999999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15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0.199999999999999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15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0.199999999999999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15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0.199999999999999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15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0.199999999999999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15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0.199999999999999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15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0.199999999999999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15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0.199999999999999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15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0.199999999999999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15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0.199999999999999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15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0.199999999999999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15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0.199999999999999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15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0.199999999999999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15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0.199999999999999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15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0.199999999999999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15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0.199999999999999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15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0.199999999999999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15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0.199999999999999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15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0.199999999999999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15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0.199999999999999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15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0.199999999999999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15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0.199999999999999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15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0.199999999999999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15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0.199999999999999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15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0.199999999999999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15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0.199999999999999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15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0.199999999999999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15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0.199999999999999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15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0.199999999999999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15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0.199999999999999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15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0.199999999999999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15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0.199999999999999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15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0.199999999999999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15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0.199999999999999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15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0.199999999999999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15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0.199999999999999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15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0.199999999999999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15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0.199999999999999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15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0.199999999999999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15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0.199999999999999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15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0.199999999999999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15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0.199999999999999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15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0.199999999999999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15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0.199999999999999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15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0.199999999999999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15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0.199999999999999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15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0.199999999999999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15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0.199999999999999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15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0.199999999999999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15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0.199999999999999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15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0.199999999999999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15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0.199999999999999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15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0.199999999999999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15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0.199999999999999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15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0.199999999999999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15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0.199999999999999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15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0.199999999999999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15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0.199999999999999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15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0.199999999999999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15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0.199999999999999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15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0.199999999999999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15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0.199999999999999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15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0.199999999999999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15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0.199999999999999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15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0.199999999999999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15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0.199999999999999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15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0.199999999999999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15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0.199999999999999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15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0.199999999999999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15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0.199999999999999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15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0.199999999999999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15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0.199999999999999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15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0.199999999999999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15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0.199999999999999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15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0.199999999999999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15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0.199999999999999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15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0.199999999999999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15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0.199999999999999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15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0.199999999999999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15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0.199999999999999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15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0.199999999999999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15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0.199999999999999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15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0.199999999999999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15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0.199999999999999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15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0.199999999999999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15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0.199999999999999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15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0.199999999999999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15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0.199999999999999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15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0.199999999999999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15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0.199999999999999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15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0.199999999999999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15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0.199999999999999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15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0.199999999999999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15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0.199999999999999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15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0.199999999999999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15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0.199999999999999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15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0.199999999999999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15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0.199999999999999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15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0.199999999999999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15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0.199999999999999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15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0.199999999999999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15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0.199999999999999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15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0.199999999999999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15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0.199999999999999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15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0.199999999999999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15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0.199999999999999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15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0.199999999999999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15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0.199999999999999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15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0.199999999999999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15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0.199999999999999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15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0.199999999999999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15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0.199999999999999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15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0.199999999999999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15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0.199999999999999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15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0.199999999999999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15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0.199999999999999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15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0.199999999999999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15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0.199999999999999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15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0.199999999999999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15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0.199999999999999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15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0.199999999999999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15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0.199999999999999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15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0.199999999999999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15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0.199999999999999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15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0.199999999999999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15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0.199999999999999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15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0.199999999999999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15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0.199999999999999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15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0.199999999999999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15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0.199999999999999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15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0.199999999999999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15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0.199999999999999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15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0.199999999999999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15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0.199999999999999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15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0.199999999999999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15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0.199999999999999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15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0.199999999999999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15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0.199999999999999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15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0.199999999999999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15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0.199999999999999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15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0.199999999999999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15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0.199999999999999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15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0.199999999999999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15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0.199999999999999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15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0.199999999999999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15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0.199999999999999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15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0.199999999999999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15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0.199999999999999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15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0.199999999999999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15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0.199999999999999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15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0.199999999999999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15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0.199999999999999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15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0.199999999999999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15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0.199999999999999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15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0.199999999999999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15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0.199999999999999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15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0.199999999999999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15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0.199999999999999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15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0.199999999999999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15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0.199999999999999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15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0.199999999999999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15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0.199999999999999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15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0.199999999999999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15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0.199999999999999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15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0.199999999999999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15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0.199999999999999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15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0.199999999999999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15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0.199999999999999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15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0.199999999999999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15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0.199999999999999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15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0.199999999999999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15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0.199999999999999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15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0.199999999999999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15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0.199999999999999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15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0.199999999999999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15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0.199999999999999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15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0.199999999999999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15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0.199999999999999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15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0.199999999999999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15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0.199999999999999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15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0.199999999999999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15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0.199999999999999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15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0.199999999999999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15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0.199999999999999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15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0.199999999999999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15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0.199999999999999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15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0.199999999999999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15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0.199999999999999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15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0.199999999999999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15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0.199999999999999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15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0.199999999999999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15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0.199999999999999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15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0.199999999999999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15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0.199999999999999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15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0.199999999999999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15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0.199999999999999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15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0.199999999999999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15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0.199999999999999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15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0.199999999999999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15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0.199999999999999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15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0.199999999999999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15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0.199999999999999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15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0.199999999999999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15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0.199999999999999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15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0.199999999999999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15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0.199999999999999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15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0.199999999999999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15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0.199999999999999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15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0.199999999999999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15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0.199999999999999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15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0.199999999999999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15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0.199999999999999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15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0.199999999999999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15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0.199999999999999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15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0.199999999999999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15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0.199999999999999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15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0.199999999999999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15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0.199999999999999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15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0.199999999999999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15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0.199999999999999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15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0.199999999999999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15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0.199999999999999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15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0.199999999999999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15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0.199999999999999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15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0.199999999999999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15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0.199999999999999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15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0.199999999999999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15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0.199999999999999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15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0.199999999999999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15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0.199999999999999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15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0.199999999999999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15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0.199999999999999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15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0.199999999999999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15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0.199999999999999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15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0.199999999999999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15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0.199999999999999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15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0.199999999999999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15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0.199999999999999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15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0.199999999999999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15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0.199999999999999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15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0.199999999999999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15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0.199999999999999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15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0.199999999999999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15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0.199999999999999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15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0.199999999999999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15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0.199999999999999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15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0.199999999999999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15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0.199999999999999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15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0.199999999999999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15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0.199999999999999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15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0.199999999999999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15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0.199999999999999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15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0.199999999999999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15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0.199999999999999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15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0.199999999999999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15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0.199999999999999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15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0.199999999999999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15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0.199999999999999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15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0.199999999999999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15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0.199999999999999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15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0.199999999999999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15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0.199999999999999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15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0.199999999999999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15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0.199999999999999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15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0.199999999999999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15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0.199999999999999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15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0.199999999999999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15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0.199999999999999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15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0.199999999999999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15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0.199999999999999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15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0.199999999999999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15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0.199999999999999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15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0.199999999999999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15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0.199999999999999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15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0.199999999999999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15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0.199999999999999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15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0.199999999999999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15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0.199999999999999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15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0.199999999999999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15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0.199999999999999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15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0.199999999999999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15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0.199999999999999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15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0.199999999999999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15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0.199999999999999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15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0.199999999999999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15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0.199999999999999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15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0.199999999999999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15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0.199999999999999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15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0.199999999999999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15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0.199999999999999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15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0.199999999999999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15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0.199999999999999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15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0.199999999999999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15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0.199999999999999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15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0.199999999999999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15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0.199999999999999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15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0.199999999999999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15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0.199999999999999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15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0.199999999999999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15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0.199999999999999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15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0.199999999999999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15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0.199999999999999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15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0.199999999999999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15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0.199999999999999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15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0.199999999999999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15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0.199999999999999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15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0.199999999999999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15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0.199999999999999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15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0.199999999999999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15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0.199999999999999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15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0.199999999999999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15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0.199999999999999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15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0.199999999999999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15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0.199999999999999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15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0.199999999999999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15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0.199999999999999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15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0.199999999999999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15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0.199999999999999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15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0.199999999999999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15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0.199999999999999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15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0.199999999999999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15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0.199999999999999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15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0.199999999999999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15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0.199999999999999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15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0.199999999999999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15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0.199999999999999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15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0.199999999999999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15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0.199999999999999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15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0.199999999999999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15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0.199999999999999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15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0.199999999999999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15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0.199999999999999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15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0.199999999999999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15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0.199999999999999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15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0.199999999999999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15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0.199999999999999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15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0.199999999999999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15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0.199999999999999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15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0.199999999999999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15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0.199999999999999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15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0.199999999999999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15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0.199999999999999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15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0.199999999999999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15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0.199999999999999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15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0.199999999999999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15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0.199999999999999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15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0.199999999999999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15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0.199999999999999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15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0.199999999999999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15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0.199999999999999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15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0.199999999999999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15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0.199999999999999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15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0.199999999999999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15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0.199999999999999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15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0.199999999999999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15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0.199999999999999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15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0.199999999999999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15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0.199999999999999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15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0.199999999999999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15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0.199999999999999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15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0.199999999999999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15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0.199999999999999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15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0.199999999999999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15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0.199999999999999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15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0.199999999999999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15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0.199999999999999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15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0.199999999999999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15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0.199999999999999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15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0.199999999999999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15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0.199999999999999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15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0.199999999999999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15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0.199999999999999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15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0.199999999999999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15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0.199999999999999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15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0.199999999999999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15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0.199999999999999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15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0.199999999999999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15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0.199999999999999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15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0.199999999999999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15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0.199999999999999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15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0.199999999999999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15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0.199999999999999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15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0.199999999999999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15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0.199999999999999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15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0.199999999999999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15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0.199999999999999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15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0.199999999999999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15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0.199999999999999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15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0.199999999999999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15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0.199999999999999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15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0.199999999999999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15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0.199999999999999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15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0.199999999999999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15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0.199999999999999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15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0.199999999999999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15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0.199999999999999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15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0.199999999999999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15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0.199999999999999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15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0.199999999999999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15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0.199999999999999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15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0.199999999999999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15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0.199999999999999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15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0.199999999999999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15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0.199999999999999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15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0.199999999999999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15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0.199999999999999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15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0.199999999999999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15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0.199999999999999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15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0.199999999999999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15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0.199999999999999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15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0.199999999999999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15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0.199999999999999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15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0.199999999999999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15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0.199999999999999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15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0.199999999999999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15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0.199999999999999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15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0.199999999999999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15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0.199999999999999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15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0.199999999999999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15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0.199999999999999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15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0.199999999999999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15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0.199999999999999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15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0.199999999999999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15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0.199999999999999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15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0.199999999999999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15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0.199999999999999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15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0.199999999999999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15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0.199999999999999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15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0.199999999999999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15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0.199999999999999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15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0.199999999999999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15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0.199999999999999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15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0.199999999999999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15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0.199999999999999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15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0.199999999999999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15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0.199999999999999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15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0.199999999999999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15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0.199999999999999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15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0.199999999999999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15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0.199999999999999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15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0.199999999999999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15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0.199999999999999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15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0.199999999999999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15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0.199999999999999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15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0.199999999999999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15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0.199999999999999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15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0.199999999999999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15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0.199999999999999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15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0.199999999999999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15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0.199999999999999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15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0.199999999999999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15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0.199999999999999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15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0.199999999999999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15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0.199999999999999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15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0.199999999999999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15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0.199999999999999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15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0.199999999999999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15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0.199999999999999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15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0.199999999999999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15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0.199999999999999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15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0.199999999999999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15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0.199999999999999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15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0.199999999999999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15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0.199999999999999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15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0.199999999999999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15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0.199999999999999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15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0.199999999999999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15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0.199999999999999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15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0.199999999999999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15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0.199999999999999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15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0.199999999999999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15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0.199999999999999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15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0.199999999999999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15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0.199999999999999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15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0.199999999999999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15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0.199999999999999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15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0.199999999999999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15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0.199999999999999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15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0.199999999999999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15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0.199999999999999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15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0.199999999999999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15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0.199999999999999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15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0.199999999999999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15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0.199999999999999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15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0.199999999999999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15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0.199999999999999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15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0.199999999999999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15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0.199999999999999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15"/>
      <c r="R993" s="4"/>
      <c r="S993" s="4"/>
      <c r="T993" s="4"/>
      <c r="U993" s="4"/>
      <c r="V993" s="4"/>
      <c r="W993" s="4"/>
      <c r="X993" s="4"/>
      <c r="Y993" s="4"/>
      <c r="Z993" s="4"/>
    </row>
  </sheetData>
  <mergeCells count="4">
    <mergeCell ref="B1:E1"/>
    <mergeCell ref="A2:A3"/>
    <mergeCell ref="B2:E3"/>
    <mergeCell ref="B4:E4"/>
  </mergeCells>
  <dataValidations count="1">
    <dataValidation type="list" allowBlank="1" showErrorMessage="1" sqref="G2:G3 J2:J3 M2:M3 G9 J9 M9 F12:F21 I12:I21 L12:L21 G22:G140 J22:J140 M22:M140" xr:uid="{00000000-0002-0000-0500-000000000000}">
      <formula1>$R$2:$R$5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994"/>
  <sheetViews>
    <sheetView topLeftCell="A15" workbookViewId="0"/>
  </sheetViews>
  <sheetFormatPr defaultColWidth="12.6640625" defaultRowHeight="13.2" x14ac:dyDescent="0.2"/>
  <cols>
    <col min="1" max="1" width="14" customWidth="1"/>
    <col min="2" max="2" width="34" customWidth="1"/>
    <col min="3" max="3" width="58" customWidth="1"/>
    <col min="4" max="4" width="48" customWidth="1"/>
    <col min="5" max="5" width="38" customWidth="1"/>
    <col min="6" max="6" width="9.33203125" customWidth="1"/>
    <col min="7" max="7" width="13" customWidth="1"/>
    <col min="8" max="8" width="8.77734375" customWidth="1"/>
    <col min="9" max="9" width="9.33203125" customWidth="1"/>
    <col min="10" max="10" width="13" customWidth="1"/>
    <col min="11" max="11" width="8.21875" customWidth="1"/>
    <col min="12" max="12" width="9.33203125" customWidth="1"/>
    <col min="13" max="13" width="13" customWidth="1"/>
    <col min="14" max="14" width="9.44140625" customWidth="1"/>
    <col min="15" max="15" width="28.6640625" customWidth="1"/>
    <col min="16" max="16" width="10.109375" customWidth="1"/>
    <col min="17" max="17" width="8.109375" customWidth="1"/>
    <col min="18" max="18" width="7.6640625" hidden="1" customWidth="1"/>
    <col min="19" max="26" width="9" customWidth="1"/>
  </cols>
  <sheetData>
    <row r="1" spans="1:26" ht="10.199999999999999" customHeight="1" x14ac:dyDescent="0.25">
      <c r="A1" s="53"/>
      <c r="B1" s="154"/>
      <c r="C1" s="154"/>
      <c r="D1" s="154"/>
      <c r="E1" s="154"/>
      <c r="F1" s="18"/>
      <c r="G1" s="18"/>
      <c r="H1" s="18"/>
      <c r="I1" s="18"/>
      <c r="J1" s="18"/>
      <c r="K1" s="18"/>
      <c r="L1" s="18"/>
      <c r="M1" s="18"/>
      <c r="N1" s="18"/>
      <c r="O1" s="18"/>
      <c r="P1" s="4"/>
      <c r="Q1" s="15"/>
      <c r="R1" s="4"/>
      <c r="S1" s="4"/>
      <c r="T1" s="4"/>
      <c r="U1" s="4"/>
      <c r="V1" s="4"/>
      <c r="W1" s="4"/>
      <c r="X1" s="4"/>
      <c r="Y1" s="4"/>
      <c r="Z1" s="4"/>
    </row>
    <row r="2" spans="1:26" ht="33.6" customHeight="1" x14ac:dyDescent="0.25">
      <c r="A2" s="155" t="s">
        <v>29</v>
      </c>
      <c r="B2" s="156" t="s">
        <v>458</v>
      </c>
      <c r="C2" s="157"/>
      <c r="D2" s="157"/>
      <c r="E2" s="157"/>
      <c r="F2" s="16"/>
      <c r="G2" s="17"/>
      <c r="H2" s="18"/>
      <c r="I2" s="16"/>
      <c r="J2" s="17"/>
      <c r="K2" s="18"/>
      <c r="L2" s="16"/>
      <c r="M2" s="17"/>
      <c r="N2" s="18"/>
      <c r="O2" s="18"/>
      <c r="P2" s="18"/>
      <c r="Q2" s="19"/>
      <c r="R2" s="20" t="s">
        <v>24</v>
      </c>
      <c r="S2" s="20"/>
      <c r="T2" s="20"/>
      <c r="U2" s="20"/>
      <c r="V2" s="20"/>
      <c r="W2" s="20"/>
      <c r="X2" s="20"/>
      <c r="Y2" s="20"/>
      <c r="Z2" s="20"/>
    </row>
    <row r="3" spans="1:26" ht="33.6" customHeight="1" x14ac:dyDescent="0.25">
      <c r="A3" s="155" t="s">
        <v>30</v>
      </c>
      <c r="B3" s="156" t="s">
        <v>459</v>
      </c>
      <c r="C3" s="157"/>
      <c r="D3" s="157"/>
      <c r="E3" s="157"/>
      <c r="F3" s="16"/>
      <c r="G3" s="17"/>
      <c r="H3" s="18"/>
      <c r="I3" s="16"/>
      <c r="J3" s="17"/>
      <c r="K3" s="18"/>
      <c r="L3" s="16"/>
      <c r="M3" s="17"/>
      <c r="N3" s="18"/>
      <c r="O3" s="18"/>
      <c r="P3" s="18"/>
      <c r="Q3" s="19"/>
      <c r="R3" s="20" t="s">
        <v>25</v>
      </c>
      <c r="S3" s="20"/>
      <c r="T3" s="20"/>
      <c r="U3" s="20"/>
      <c r="V3" s="20"/>
      <c r="W3" s="20"/>
      <c r="X3" s="20"/>
      <c r="Y3" s="20"/>
      <c r="Z3" s="20"/>
    </row>
    <row r="4" spans="1:26" ht="14.4" customHeight="1" x14ac:dyDescent="0.25">
      <c r="A4" s="52" t="s">
        <v>31</v>
      </c>
      <c r="B4" s="156">
        <v>6</v>
      </c>
      <c r="C4" s="157"/>
      <c r="D4" s="157"/>
      <c r="E4" s="157"/>
      <c r="F4" s="16"/>
      <c r="G4" s="17"/>
      <c r="H4" s="18"/>
      <c r="I4" s="16"/>
      <c r="J4" s="17"/>
      <c r="K4" s="18"/>
      <c r="L4" s="16"/>
      <c r="M4" s="17"/>
      <c r="N4" s="18"/>
      <c r="O4" s="18"/>
      <c r="P4" s="18"/>
      <c r="Q4" s="19"/>
      <c r="R4" s="20" t="s">
        <v>26</v>
      </c>
      <c r="S4" s="20"/>
      <c r="T4" s="20"/>
      <c r="U4" s="20"/>
      <c r="V4" s="20"/>
      <c r="W4" s="20"/>
      <c r="X4" s="20"/>
      <c r="Y4" s="20"/>
      <c r="Z4" s="20"/>
    </row>
    <row r="5" spans="1:26" ht="15.6" customHeight="1" x14ac:dyDescent="0.25">
      <c r="A5" s="51" t="s">
        <v>360</v>
      </c>
      <c r="B5" s="51" t="s">
        <v>24</v>
      </c>
      <c r="C5" s="51" t="s">
        <v>25</v>
      </c>
      <c r="D5" s="51" t="s">
        <v>26</v>
      </c>
      <c r="E5" s="51" t="s">
        <v>27</v>
      </c>
      <c r="F5" s="21"/>
      <c r="G5" s="21"/>
      <c r="H5" s="22"/>
      <c r="I5" s="21"/>
      <c r="J5" s="21"/>
      <c r="K5" s="22"/>
      <c r="L5" s="21"/>
      <c r="M5" s="21"/>
      <c r="N5" s="22"/>
      <c r="O5" s="22"/>
      <c r="P5" s="22"/>
      <c r="Q5" s="23"/>
      <c r="R5" s="20" t="s">
        <v>27</v>
      </c>
      <c r="S5" s="20"/>
      <c r="T5" s="20"/>
      <c r="U5" s="20"/>
      <c r="V5" s="20"/>
      <c r="W5" s="20"/>
      <c r="X5" s="20"/>
      <c r="Y5" s="20"/>
      <c r="Z5" s="20"/>
    </row>
    <row r="6" spans="1:26" ht="12" customHeight="1" x14ac:dyDescent="0.25">
      <c r="A6" s="51" t="s">
        <v>361</v>
      </c>
      <c r="B6" s="51">
        <f t="shared" ref="B6:E6" si="0">COUNTIF($F$12:$F$1005,B$5)</f>
        <v>6</v>
      </c>
      <c r="C6" s="51">
        <f t="shared" si="0"/>
        <v>0</v>
      </c>
      <c r="D6" s="51">
        <f t="shared" si="0"/>
        <v>0</v>
      </c>
      <c r="E6" s="51">
        <f t="shared" si="0"/>
        <v>0</v>
      </c>
      <c r="F6" s="24"/>
      <c r="G6" s="24"/>
      <c r="H6" s="22"/>
      <c r="I6" s="24"/>
      <c r="J6" s="24"/>
      <c r="K6" s="22"/>
      <c r="L6" s="24"/>
      <c r="M6" s="24"/>
      <c r="N6" s="22"/>
      <c r="O6" s="22"/>
      <c r="P6" s="22"/>
      <c r="Q6" s="23"/>
      <c r="R6" s="20"/>
      <c r="S6" s="20"/>
      <c r="T6" s="20"/>
      <c r="U6" s="20"/>
      <c r="V6" s="20"/>
      <c r="W6" s="20"/>
      <c r="X6" s="20"/>
      <c r="Y6" s="20"/>
      <c r="Z6" s="20"/>
    </row>
    <row r="7" spans="1:26" ht="12" customHeight="1" x14ac:dyDescent="0.25">
      <c r="A7" s="51" t="s">
        <v>362</v>
      </c>
      <c r="B7" s="51">
        <f t="shared" ref="B7:E7" si="1">COUNTIF($I$12:$I$1005,B$5)</f>
        <v>6</v>
      </c>
      <c r="C7" s="51">
        <f t="shared" si="1"/>
        <v>0</v>
      </c>
      <c r="D7" s="51">
        <f t="shared" si="1"/>
        <v>0</v>
      </c>
      <c r="E7" s="51">
        <f t="shared" si="1"/>
        <v>0</v>
      </c>
      <c r="F7" s="24"/>
      <c r="G7" s="24"/>
      <c r="H7" s="22"/>
      <c r="I7" s="24"/>
      <c r="J7" s="24"/>
      <c r="K7" s="22"/>
      <c r="L7" s="24"/>
      <c r="M7" s="24"/>
      <c r="N7" s="22"/>
      <c r="O7" s="22"/>
      <c r="P7" s="22"/>
      <c r="Q7" s="23"/>
      <c r="R7" s="20"/>
      <c r="S7" s="20"/>
      <c r="T7" s="20"/>
      <c r="U7" s="20"/>
      <c r="V7" s="20"/>
      <c r="W7" s="20"/>
      <c r="X7" s="20"/>
      <c r="Y7" s="20"/>
      <c r="Z7" s="20"/>
    </row>
    <row r="8" spans="1:26" ht="12" customHeight="1" x14ac:dyDescent="0.25">
      <c r="A8" s="51" t="s">
        <v>363</v>
      </c>
      <c r="B8" s="51">
        <f t="shared" ref="B8:E8" si="2">COUNTIF($L$12:$L$1005,B$5)</f>
        <v>6</v>
      </c>
      <c r="C8" s="51">
        <f t="shared" si="2"/>
        <v>0</v>
      </c>
      <c r="D8" s="51">
        <f t="shared" si="2"/>
        <v>0</v>
      </c>
      <c r="E8" s="51">
        <f t="shared" si="2"/>
        <v>0</v>
      </c>
      <c r="F8" s="24"/>
      <c r="G8" s="24"/>
      <c r="H8" s="22"/>
      <c r="I8" s="24"/>
      <c r="J8" s="24"/>
      <c r="K8" s="22"/>
      <c r="L8" s="24"/>
      <c r="M8" s="24"/>
      <c r="N8" s="22"/>
      <c r="O8" s="22"/>
      <c r="P8" s="22"/>
      <c r="Q8" s="23"/>
      <c r="R8" s="20"/>
      <c r="S8" s="20"/>
      <c r="T8" s="20"/>
      <c r="U8" s="20"/>
      <c r="V8" s="20"/>
      <c r="W8" s="20"/>
      <c r="X8" s="20"/>
      <c r="Y8" s="20"/>
      <c r="Z8" s="20"/>
    </row>
    <row r="9" spans="1:26" ht="12" customHeight="1" x14ac:dyDescent="0.25">
      <c r="A9" s="22"/>
      <c r="B9" s="22"/>
      <c r="C9" s="22"/>
      <c r="D9" s="22"/>
      <c r="E9" s="22"/>
      <c r="F9" s="14"/>
      <c r="G9" s="22"/>
      <c r="H9" s="22"/>
      <c r="I9" s="14"/>
      <c r="J9" s="22"/>
      <c r="K9" s="22"/>
      <c r="L9" s="14"/>
      <c r="M9" s="22"/>
      <c r="N9" s="22"/>
      <c r="O9" s="22"/>
      <c r="P9" s="22"/>
      <c r="Q9" s="23"/>
      <c r="R9" s="20"/>
      <c r="S9" s="20"/>
      <c r="T9" s="20"/>
      <c r="U9" s="20"/>
      <c r="V9" s="20"/>
      <c r="W9" s="20"/>
      <c r="X9" s="20"/>
      <c r="Y9" s="20"/>
      <c r="Z9" s="20"/>
    </row>
    <row r="10" spans="1:26" ht="20.399999999999999" customHeight="1" x14ac:dyDescent="0.25">
      <c r="A10" s="54" t="s">
        <v>364</v>
      </c>
      <c r="B10" s="54" t="s">
        <v>365</v>
      </c>
      <c r="C10" s="54" t="s">
        <v>366</v>
      </c>
      <c r="D10" s="54" t="s">
        <v>367</v>
      </c>
      <c r="E10" s="54" t="s">
        <v>368</v>
      </c>
      <c r="F10" s="54" t="s">
        <v>361</v>
      </c>
      <c r="G10" s="54" t="s">
        <v>369</v>
      </c>
      <c r="H10" s="54" t="s">
        <v>370</v>
      </c>
      <c r="I10" s="54" t="s">
        <v>362</v>
      </c>
      <c r="J10" s="54" t="s">
        <v>369</v>
      </c>
      <c r="K10" s="54" t="s">
        <v>370</v>
      </c>
      <c r="L10" s="54" t="s">
        <v>363</v>
      </c>
      <c r="M10" s="54" t="s">
        <v>369</v>
      </c>
      <c r="N10" s="54" t="s">
        <v>370</v>
      </c>
      <c r="O10" s="54" t="s">
        <v>371</v>
      </c>
      <c r="P10" s="20"/>
      <c r="Q10" s="25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9.2" customHeight="1" x14ac:dyDescent="0.25">
      <c r="A11" s="55" t="s">
        <v>460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20"/>
      <c r="Q11" s="26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94.35" customHeight="1" x14ac:dyDescent="0.2">
      <c r="A12" s="56" t="s">
        <v>461</v>
      </c>
      <c r="B12" s="56" t="s">
        <v>339</v>
      </c>
      <c r="C12" s="56" t="s">
        <v>462</v>
      </c>
      <c r="D12" s="57" t="s">
        <v>340</v>
      </c>
      <c r="E12" s="57" t="s">
        <v>341</v>
      </c>
      <c r="F12" s="56" t="s">
        <v>24</v>
      </c>
      <c r="G12" s="63">
        <v>46235</v>
      </c>
      <c r="H12" s="56" t="s">
        <v>375</v>
      </c>
      <c r="I12" s="56" t="s">
        <v>24</v>
      </c>
      <c r="J12" s="63">
        <v>46242</v>
      </c>
      <c r="K12" s="56" t="s">
        <v>375</v>
      </c>
      <c r="L12" s="56" t="s">
        <v>24</v>
      </c>
      <c r="M12" s="63">
        <v>46249</v>
      </c>
      <c r="N12" s="56" t="s">
        <v>375</v>
      </c>
      <c r="O12" s="56"/>
      <c r="P12" s="27"/>
      <c r="Q12" s="28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94.35" customHeight="1" x14ac:dyDescent="0.25">
      <c r="A13" s="56" t="s">
        <v>463</v>
      </c>
      <c r="B13" s="56" t="s">
        <v>342</v>
      </c>
      <c r="C13" s="56" t="s">
        <v>464</v>
      </c>
      <c r="D13" s="57" t="s">
        <v>343</v>
      </c>
      <c r="E13" s="57" t="s">
        <v>344</v>
      </c>
      <c r="F13" s="56" t="s">
        <v>24</v>
      </c>
      <c r="G13" s="63">
        <v>46235</v>
      </c>
      <c r="H13" s="56" t="s">
        <v>375</v>
      </c>
      <c r="I13" s="56" t="s">
        <v>24</v>
      </c>
      <c r="J13" s="63">
        <v>46242</v>
      </c>
      <c r="K13" s="56" t="s">
        <v>375</v>
      </c>
      <c r="L13" s="56" t="s">
        <v>24</v>
      </c>
      <c r="M13" s="63">
        <v>46249</v>
      </c>
      <c r="N13" s="56" t="s">
        <v>375</v>
      </c>
      <c r="O13" s="56"/>
      <c r="P13" s="4"/>
      <c r="Q13" s="30"/>
      <c r="R13" s="4"/>
      <c r="S13" s="4"/>
      <c r="T13" s="4"/>
      <c r="U13" s="4"/>
      <c r="V13" s="4"/>
      <c r="W13" s="4"/>
      <c r="X13" s="4"/>
      <c r="Y13" s="4"/>
      <c r="Z13" s="4"/>
    </row>
    <row r="14" spans="1:26" ht="94.35" customHeight="1" x14ac:dyDescent="0.25">
      <c r="A14" s="58" t="s">
        <v>465</v>
      </c>
      <c r="B14" s="58" t="s">
        <v>345</v>
      </c>
      <c r="C14" s="58" t="s">
        <v>466</v>
      </c>
      <c r="D14" s="58" t="s">
        <v>346</v>
      </c>
      <c r="E14" s="58" t="s">
        <v>347</v>
      </c>
      <c r="F14" s="58" t="s">
        <v>24</v>
      </c>
      <c r="G14" s="64">
        <v>46235</v>
      </c>
      <c r="H14" s="58" t="s">
        <v>375</v>
      </c>
      <c r="I14" s="58" t="s">
        <v>24</v>
      </c>
      <c r="J14" s="64">
        <v>46242</v>
      </c>
      <c r="K14" s="58" t="s">
        <v>375</v>
      </c>
      <c r="L14" s="58" t="s">
        <v>24</v>
      </c>
      <c r="M14" s="64">
        <v>46249</v>
      </c>
      <c r="N14" s="58" t="s">
        <v>375</v>
      </c>
      <c r="O14" s="58"/>
      <c r="P14" s="20"/>
      <c r="Q14" s="26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94.35" customHeight="1" x14ac:dyDescent="0.25">
      <c r="A15" s="56" t="s">
        <v>467</v>
      </c>
      <c r="B15" s="56" t="s">
        <v>348</v>
      </c>
      <c r="C15" s="56" t="s">
        <v>468</v>
      </c>
      <c r="D15" s="57" t="s">
        <v>349</v>
      </c>
      <c r="E15" s="57" t="s">
        <v>350</v>
      </c>
      <c r="F15" s="56" t="s">
        <v>24</v>
      </c>
      <c r="G15" s="63">
        <v>46235</v>
      </c>
      <c r="H15" s="56" t="s">
        <v>375</v>
      </c>
      <c r="I15" s="56" t="s">
        <v>24</v>
      </c>
      <c r="J15" s="63">
        <v>46242</v>
      </c>
      <c r="K15" s="56" t="s">
        <v>375</v>
      </c>
      <c r="L15" s="56" t="s">
        <v>24</v>
      </c>
      <c r="M15" s="63">
        <v>46249</v>
      </c>
      <c r="N15" s="56" t="s">
        <v>375</v>
      </c>
      <c r="O15" s="56"/>
      <c r="P15" s="4"/>
      <c r="Q15" s="30"/>
      <c r="R15" s="4"/>
      <c r="S15" s="4"/>
      <c r="T15" s="4"/>
      <c r="U15" s="4"/>
      <c r="V15" s="4"/>
      <c r="W15" s="4"/>
      <c r="X15" s="4"/>
      <c r="Y15" s="4"/>
      <c r="Z15" s="4"/>
    </row>
    <row r="16" spans="1:26" ht="94.35" customHeight="1" x14ac:dyDescent="0.25">
      <c r="A16" s="58" t="s">
        <v>469</v>
      </c>
      <c r="B16" s="58" t="s">
        <v>351</v>
      </c>
      <c r="C16" s="58" t="s">
        <v>470</v>
      </c>
      <c r="D16" s="58" t="s">
        <v>352</v>
      </c>
      <c r="E16" s="58" t="s">
        <v>353</v>
      </c>
      <c r="F16" s="58" t="s">
        <v>24</v>
      </c>
      <c r="G16" s="64">
        <v>46235</v>
      </c>
      <c r="H16" s="58" t="s">
        <v>375</v>
      </c>
      <c r="I16" s="58" t="s">
        <v>24</v>
      </c>
      <c r="J16" s="64">
        <v>46242</v>
      </c>
      <c r="K16" s="58" t="s">
        <v>375</v>
      </c>
      <c r="L16" s="58" t="s">
        <v>24</v>
      </c>
      <c r="M16" s="64">
        <v>46249</v>
      </c>
      <c r="N16" s="58" t="s">
        <v>375</v>
      </c>
      <c r="O16" s="58"/>
      <c r="P16" s="20"/>
      <c r="Q16" s="26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30" customHeight="1" x14ac:dyDescent="0.25">
      <c r="A17" s="60" t="s">
        <v>471</v>
      </c>
      <c r="B17" s="60"/>
      <c r="C17" s="60"/>
      <c r="D17" s="61"/>
      <c r="E17" s="61"/>
      <c r="F17" s="60"/>
      <c r="G17" s="65"/>
      <c r="H17" s="60"/>
      <c r="I17" s="60"/>
      <c r="J17" s="65"/>
      <c r="K17" s="60"/>
      <c r="L17" s="60"/>
      <c r="M17" s="65"/>
      <c r="N17" s="60"/>
      <c r="O17" s="60"/>
      <c r="P17" s="4"/>
      <c r="Q17" s="30"/>
      <c r="R17" s="4"/>
      <c r="S17" s="4"/>
      <c r="T17" s="4"/>
      <c r="U17" s="4"/>
      <c r="V17" s="4"/>
      <c r="W17" s="4"/>
      <c r="X17" s="4"/>
      <c r="Y17" s="4"/>
      <c r="Z17" s="4"/>
    </row>
    <row r="18" spans="1:26" ht="94.35" customHeight="1" x14ac:dyDescent="0.25">
      <c r="A18" s="56" t="s">
        <v>472</v>
      </c>
      <c r="B18" s="56" t="s">
        <v>354</v>
      </c>
      <c r="C18" s="56" t="s">
        <v>473</v>
      </c>
      <c r="D18" s="57" t="s">
        <v>355</v>
      </c>
      <c r="E18" s="57" t="s">
        <v>356</v>
      </c>
      <c r="F18" s="56" t="s">
        <v>24</v>
      </c>
      <c r="G18" s="63">
        <v>46235</v>
      </c>
      <c r="H18" s="56" t="s">
        <v>375</v>
      </c>
      <c r="I18" s="56" t="s">
        <v>24</v>
      </c>
      <c r="J18" s="63">
        <v>46242</v>
      </c>
      <c r="K18" s="56" t="s">
        <v>375</v>
      </c>
      <c r="L18" s="56" t="s">
        <v>24</v>
      </c>
      <c r="M18" s="63">
        <v>46249</v>
      </c>
      <c r="N18" s="56" t="s">
        <v>375</v>
      </c>
      <c r="O18" s="56"/>
      <c r="P18" s="4"/>
      <c r="Q18" s="30"/>
      <c r="R18" s="4"/>
      <c r="S18" s="4"/>
      <c r="T18" s="4"/>
      <c r="U18" s="4"/>
      <c r="V18" s="4"/>
      <c r="W18" s="4"/>
      <c r="X18" s="4"/>
      <c r="Y18" s="4"/>
      <c r="Z18" s="4"/>
    </row>
    <row r="19" spans="1:26" ht="94.35" customHeight="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4"/>
      <c r="Q19" s="15"/>
      <c r="R19" s="4"/>
      <c r="S19" s="4"/>
      <c r="T19" s="4"/>
      <c r="U19" s="4"/>
      <c r="V19" s="4"/>
      <c r="W19" s="4"/>
      <c r="X19" s="4"/>
      <c r="Y19" s="4"/>
      <c r="Z19" s="4"/>
    </row>
    <row r="20" spans="1:26" ht="94.35" customHeight="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4"/>
      <c r="Q20" s="15"/>
      <c r="R20" s="4"/>
      <c r="S20" s="4"/>
      <c r="T20" s="4"/>
      <c r="U20" s="4"/>
      <c r="V20" s="4"/>
      <c r="W20" s="4"/>
      <c r="X20" s="4"/>
      <c r="Y20" s="4"/>
      <c r="Z20" s="4"/>
    </row>
    <row r="21" spans="1:26" ht="94.35" customHeight="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4"/>
      <c r="Q21" s="15"/>
      <c r="R21" s="4"/>
      <c r="S21" s="4"/>
      <c r="T21" s="4"/>
      <c r="U21" s="4"/>
      <c r="V21" s="4"/>
      <c r="W21" s="4"/>
      <c r="X21" s="4"/>
      <c r="Y21" s="4"/>
      <c r="Z21" s="4"/>
    </row>
    <row r="22" spans="1:26" ht="94.35" customHeight="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4"/>
      <c r="Q22" s="15"/>
      <c r="R22" s="4"/>
      <c r="S22" s="4"/>
      <c r="T22" s="4"/>
      <c r="U22" s="4"/>
      <c r="V22" s="4"/>
      <c r="W22" s="4"/>
      <c r="X22" s="4"/>
      <c r="Y22" s="4"/>
      <c r="Z22" s="4"/>
    </row>
    <row r="23" spans="1:26" ht="94.35" customHeight="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4"/>
      <c r="Q23" s="15"/>
      <c r="R23" s="4"/>
      <c r="S23" s="4"/>
      <c r="T23" s="4"/>
      <c r="U23" s="4"/>
      <c r="V23" s="4"/>
      <c r="W23" s="4"/>
      <c r="X23" s="4"/>
      <c r="Y23" s="4"/>
      <c r="Z23" s="4"/>
    </row>
    <row r="24" spans="1:26" ht="94.35" customHeight="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4"/>
      <c r="Q24" s="15"/>
      <c r="R24" s="4"/>
      <c r="S24" s="4"/>
      <c r="T24" s="4"/>
      <c r="U24" s="4"/>
      <c r="V24" s="4"/>
      <c r="W24" s="4"/>
      <c r="X24" s="4"/>
      <c r="Y24" s="4"/>
      <c r="Z24" s="4"/>
    </row>
    <row r="25" spans="1:26" ht="94.35" customHeight="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4"/>
      <c r="Q25" s="15"/>
      <c r="R25" s="4"/>
      <c r="S25" s="4"/>
      <c r="T25" s="4"/>
      <c r="U25" s="4"/>
      <c r="V25" s="4"/>
      <c r="W25" s="4"/>
      <c r="X25" s="4"/>
      <c r="Y25" s="4"/>
      <c r="Z25" s="4"/>
    </row>
    <row r="26" spans="1:26" ht="94.35" customHeight="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4"/>
      <c r="Q26" s="15"/>
      <c r="R26" s="4"/>
      <c r="S26" s="4"/>
      <c r="T26" s="4"/>
      <c r="U26" s="4"/>
      <c r="V26" s="4"/>
      <c r="W26" s="4"/>
      <c r="X26" s="4"/>
      <c r="Y26" s="4"/>
      <c r="Z26" s="4"/>
    </row>
    <row r="27" spans="1:26" ht="94.35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4"/>
      <c r="Q27" s="15"/>
      <c r="R27" s="4"/>
      <c r="S27" s="4"/>
      <c r="T27" s="4"/>
      <c r="U27" s="4"/>
      <c r="V27" s="4"/>
      <c r="W27" s="4"/>
      <c r="X27" s="4"/>
      <c r="Y27" s="4"/>
      <c r="Z27" s="4"/>
    </row>
    <row r="28" spans="1:26" ht="94.3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4"/>
      <c r="Q28" s="15"/>
      <c r="R28" s="4"/>
      <c r="S28" s="4"/>
      <c r="T28" s="4"/>
      <c r="U28" s="4"/>
      <c r="V28" s="4"/>
      <c r="W28" s="4"/>
      <c r="X28" s="4"/>
      <c r="Y28" s="4"/>
      <c r="Z28" s="4"/>
    </row>
    <row r="29" spans="1:26" ht="94.3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4"/>
      <c r="Q29" s="15"/>
      <c r="R29" s="4"/>
      <c r="S29" s="4"/>
      <c r="T29" s="4"/>
      <c r="U29" s="4"/>
      <c r="V29" s="4"/>
      <c r="W29" s="4"/>
      <c r="X29" s="4"/>
      <c r="Y29" s="4"/>
      <c r="Z29" s="4"/>
    </row>
    <row r="30" spans="1:26" ht="94.35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4"/>
      <c r="Q30" s="15"/>
      <c r="R30" s="4"/>
      <c r="S30" s="4"/>
      <c r="T30" s="4"/>
      <c r="U30" s="4"/>
      <c r="V30" s="4"/>
      <c r="W30" s="4"/>
      <c r="X30" s="4"/>
      <c r="Y30" s="4"/>
      <c r="Z30" s="4"/>
    </row>
    <row r="31" spans="1:26" ht="94.3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4"/>
      <c r="Q31" s="15"/>
      <c r="R31" s="4"/>
      <c r="S31" s="4"/>
      <c r="T31" s="4"/>
      <c r="U31" s="4"/>
      <c r="V31" s="4"/>
      <c r="W31" s="4"/>
      <c r="X31" s="4"/>
      <c r="Y31" s="4"/>
      <c r="Z31" s="4"/>
    </row>
    <row r="32" spans="1:26" ht="94.3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4"/>
      <c r="Q32" s="15"/>
      <c r="R32" s="4"/>
      <c r="S32" s="4"/>
      <c r="T32" s="4"/>
      <c r="U32" s="4"/>
      <c r="V32" s="4"/>
      <c r="W32" s="4"/>
      <c r="X32" s="4"/>
      <c r="Y32" s="4"/>
      <c r="Z32" s="4"/>
    </row>
    <row r="33" spans="1:26" ht="94.3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4"/>
      <c r="Q33" s="15"/>
      <c r="R33" s="4"/>
      <c r="S33" s="4"/>
      <c r="T33" s="4"/>
      <c r="U33" s="4"/>
      <c r="V33" s="4"/>
      <c r="W33" s="4"/>
      <c r="X33" s="4"/>
      <c r="Y33" s="4"/>
      <c r="Z33" s="4"/>
    </row>
    <row r="34" spans="1:26" ht="94.3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4"/>
      <c r="Q34" s="15"/>
      <c r="R34" s="4"/>
      <c r="S34" s="4"/>
      <c r="T34" s="4"/>
      <c r="U34" s="4"/>
      <c r="V34" s="4"/>
      <c r="W34" s="4"/>
      <c r="X34" s="4"/>
      <c r="Y34" s="4"/>
      <c r="Z34" s="4"/>
    </row>
    <row r="35" spans="1:26" ht="94.3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4"/>
      <c r="Q35" s="15"/>
      <c r="R35" s="4"/>
      <c r="S35" s="4"/>
      <c r="T35" s="4"/>
      <c r="U35" s="4"/>
      <c r="V35" s="4"/>
      <c r="W35" s="4"/>
      <c r="X35" s="4"/>
      <c r="Y35" s="4"/>
      <c r="Z35" s="4"/>
    </row>
    <row r="36" spans="1:26" ht="94.35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4"/>
      <c r="Q36" s="15"/>
      <c r="R36" s="4"/>
      <c r="S36" s="4"/>
      <c r="T36" s="4"/>
      <c r="U36" s="4"/>
      <c r="V36" s="4"/>
      <c r="W36" s="4"/>
      <c r="X36" s="4"/>
      <c r="Y36" s="4"/>
      <c r="Z36" s="4"/>
    </row>
    <row r="37" spans="1:26" ht="94.35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4"/>
      <c r="Q37" s="15"/>
      <c r="R37" s="4"/>
      <c r="S37" s="4"/>
      <c r="T37" s="4"/>
      <c r="U37" s="4"/>
      <c r="V37" s="4"/>
      <c r="W37" s="4"/>
      <c r="X37" s="4"/>
      <c r="Y37" s="4"/>
      <c r="Z37" s="4"/>
    </row>
    <row r="38" spans="1:26" ht="94.35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4"/>
      <c r="Q38" s="15"/>
      <c r="R38" s="4"/>
      <c r="S38" s="4"/>
      <c r="T38" s="4"/>
      <c r="U38" s="4"/>
      <c r="V38" s="4"/>
      <c r="W38" s="4"/>
      <c r="X38" s="4"/>
      <c r="Y38" s="4"/>
      <c r="Z38" s="4"/>
    </row>
    <row r="39" spans="1:26" ht="94.3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4"/>
      <c r="Q39" s="15"/>
      <c r="R39" s="4"/>
      <c r="S39" s="4"/>
      <c r="T39" s="4"/>
      <c r="U39" s="4"/>
      <c r="V39" s="4"/>
      <c r="W39" s="4"/>
      <c r="X39" s="4"/>
      <c r="Y39" s="4"/>
      <c r="Z39" s="4"/>
    </row>
    <row r="40" spans="1:26" ht="94.3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4"/>
      <c r="Q40" s="15"/>
      <c r="R40" s="4"/>
      <c r="S40" s="4"/>
      <c r="T40" s="4"/>
      <c r="U40" s="4"/>
      <c r="V40" s="4"/>
      <c r="W40" s="4"/>
      <c r="X40" s="4"/>
      <c r="Y40" s="4"/>
      <c r="Z40" s="4"/>
    </row>
    <row r="41" spans="1:26" ht="94.3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4"/>
      <c r="Q41" s="15"/>
      <c r="R41" s="4"/>
      <c r="S41" s="4"/>
      <c r="T41" s="4"/>
      <c r="U41" s="4"/>
      <c r="V41" s="4"/>
      <c r="W41" s="4"/>
      <c r="X41" s="4"/>
      <c r="Y41" s="4"/>
      <c r="Z41" s="4"/>
    </row>
    <row r="42" spans="1:26" ht="94.3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4"/>
      <c r="Q42" s="15"/>
      <c r="R42" s="4"/>
      <c r="S42" s="4"/>
      <c r="T42" s="4"/>
      <c r="U42" s="4"/>
      <c r="V42" s="4"/>
      <c r="W42" s="4"/>
      <c r="X42" s="4"/>
      <c r="Y42" s="4"/>
      <c r="Z42" s="4"/>
    </row>
    <row r="43" spans="1:26" ht="94.35" customHeight="1" x14ac:dyDescent="0.2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4"/>
      <c r="Q43" s="15"/>
      <c r="R43" s="4"/>
      <c r="S43" s="4"/>
      <c r="T43" s="4"/>
      <c r="U43" s="4"/>
      <c r="V43" s="4"/>
      <c r="W43" s="4"/>
      <c r="X43" s="4"/>
      <c r="Y43" s="4"/>
      <c r="Z43" s="4"/>
    </row>
    <row r="44" spans="1:26" ht="94.35" customHeight="1" x14ac:dyDescent="0.2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4"/>
      <c r="Q44" s="15"/>
      <c r="R44" s="4"/>
      <c r="S44" s="4"/>
      <c r="T44" s="4"/>
      <c r="U44" s="4"/>
      <c r="V44" s="4"/>
      <c r="W44" s="4"/>
      <c r="X44" s="4"/>
      <c r="Y44" s="4"/>
      <c r="Z44" s="4"/>
    </row>
    <row r="45" spans="1:26" ht="94.35" customHeight="1" x14ac:dyDescent="0.2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4"/>
      <c r="Q45" s="15"/>
      <c r="R45" s="4"/>
      <c r="S45" s="4"/>
      <c r="T45" s="4"/>
      <c r="U45" s="4"/>
      <c r="V45" s="4"/>
      <c r="W45" s="4"/>
      <c r="X45" s="4"/>
      <c r="Y45" s="4"/>
      <c r="Z45" s="4"/>
    </row>
    <row r="46" spans="1:26" ht="94.35" customHeight="1" x14ac:dyDescent="0.2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4"/>
      <c r="Q46" s="15"/>
      <c r="R46" s="4"/>
      <c r="S46" s="4"/>
      <c r="T46" s="4"/>
      <c r="U46" s="4"/>
      <c r="V46" s="4"/>
      <c r="W46" s="4"/>
      <c r="X46" s="4"/>
      <c r="Y46" s="4"/>
      <c r="Z46" s="4"/>
    </row>
    <row r="47" spans="1:26" ht="94.35" customHeight="1" x14ac:dyDescent="0.2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4"/>
      <c r="Q47" s="15"/>
      <c r="R47" s="4"/>
      <c r="S47" s="4"/>
      <c r="T47" s="4"/>
      <c r="U47" s="4"/>
      <c r="V47" s="4"/>
      <c r="W47" s="4"/>
      <c r="X47" s="4"/>
      <c r="Y47" s="4"/>
      <c r="Z47" s="4"/>
    </row>
    <row r="48" spans="1:26" ht="94.35" customHeight="1" x14ac:dyDescent="0.2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4"/>
      <c r="Q48" s="15"/>
      <c r="R48" s="4"/>
      <c r="S48" s="4"/>
      <c r="T48" s="4"/>
      <c r="U48" s="4"/>
      <c r="V48" s="4"/>
      <c r="W48" s="4"/>
      <c r="X48" s="4"/>
      <c r="Y48" s="4"/>
      <c r="Z48" s="4"/>
    </row>
    <row r="49" spans="1:26" ht="94.35" customHeight="1" x14ac:dyDescent="0.2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4"/>
      <c r="Q49" s="15"/>
      <c r="R49" s="4"/>
      <c r="S49" s="4"/>
      <c r="T49" s="4"/>
      <c r="U49" s="4"/>
      <c r="V49" s="4"/>
      <c r="W49" s="4"/>
      <c r="X49" s="4"/>
      <c r="Y49" s="4"/>
      <c r="Z49" s="4"/>
    </row>
    <row r="50" spans="1:26" ht="94.35" customHeight="1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4"/>
      <c r="Q50" s="15"/>
      <c r="R50" s="4"/>
      <c r="S50" s="4"/>
      <c r="T50" s="4"/>
      <c r="U50" s="4"/>
      <c r="V50" s="4"/>
      <c r="W50" s="4"/>
      <c r="X50" s="4"/>
      <c r="Y50" s="4"/>
      <c r="Z50" s="4"/>
    </row>
    <row r="51" spans="1:26" ht="94.35" customHeight="1" x14ac:dyDescent="0.2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4"/>
      <c r="Q51" s="15"/>
      <c r="R51" s="4"/>
      <c r="S51" s="4"/>
      <c r="T51" s="4"/>
      <c r="U51" s="4"/>
      <c r="V51" s="4"/>
      <c r="W51" s="4"/>
      <c r="X51" s="4"/>
      <c r="Y51" s="4"/>
      <c r="Z51" s="4"/>
    </row>
    <row r="52" spans="1:26" ht="94.35" customHeight="1" x14ac:dyDescent="0.2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4"/>
      <c r="Q52" s="15"/>
      <c r="R52" s="4"/>
      <c r="S52" s="4"/>
      <c r="T52" s="4"/>
      <c r="U52" s="4"/>
      <c r="V52" s="4"/>
      <c r="W52" s="4"/>
      <c r="X52" s="4"/>
      <c r="Y52" s="4"/>
      <c r="Z52" s="4"/>
    </row>
    <row r="53" spans="1:26" ht="94.35" customHeight="1" x14ac:dyDescent="0.2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4"/>
      <c r="Q53" s="15"/>
      <c r="R53" s="4"/>
      <c r="S53" s="4"/>
      <c r="T53" s="4"/>
      <c r="U53" s="4"/>
      <c r="V53" s="4"/>
      <c r="W53" s="4"/>
      <c r="X53" s="4"/>
      <c r="Y53" s="4"/>
      <c r="Z53" s="4"/>
    </row>
    <row r="54" spans="1:26" ht="94.35" customHeight="1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4"/>
      <c r="Q54" s="15"/>
      <c r="R54" s="4"/>
      <c r="S54" s="4"/>
      <c r="T54" s="4"/>
      <c r="U54" s="4"/>
      <c r="V54" s="4"/>
      <c r="W54" s="4"/>
      <c r="X54" s="4"/>
      <c r="Y54" s="4"/>
      <c r="Z54" s="4"/>
    </row>
    <row r="55" spans="1:26" ht="94.35" customHeight="1" x14ac:dyDescent="0.2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4"/>
      <c r="Q55" s="15"/>
      <c r="R55" s="4"/>
      <c r="S55" s="4"/>
      <c r="T55" s="4"/>
      <c r="U55" s="4"/>
      <c r="V55" s="4"/>
      <c r="W55" s="4"/>
      <c r="X55" s="4"/>
      <c r="Y55" s="4"/>
      <c r="Z55" s="4"/>
    </row>
    <row r="56" spans="1:26" ht="94.35" customHeight="1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4"/>
      <c r="Q56" s="15"/>
      <c r="R56" s="4"/>
      <c r="S56" s="4"/>
      <c r="T56" s="4"/>
      <c r="U56" s="4"/>
      <c r="V56" s="4"/>
      <c r="W56" s="4"/>
      <c r="X56" s="4"/>
      <c r="Y56" s="4"/>
      <c r="Z56" s="4"/>
    </row>
    <row r="57" spans="1:26" ht="94.35" customHeight="1" x14ac:dyDescent="0.2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4"/>
      <c r="Q57" s="15"/>
      <c r="R57" s="4"/>
      <c r="S57" s="4"/>
      <c r="T57" s="4"/>
      <c r="U57" s="4"/>
      <c r="V57" s="4"/>
      <c r="W57" s="4"/>
      <c r="X57" s="4"/>
      <c r="Y57" s="4"/>
      <c r="Z57" s="4"/>
    </row>
    <row r="58" spans="1:26" ht="94.35" customHeight="1" x14ac:dyDescent="0.2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4"/>
      <c r="Q58" s="15"/>
      <c r="R58" s="4"/>
      <c r="S58" s="4"/>
      <c r="T58" s="4"/>
      <c r="U58" s="4"/>
      <c r="V58" s="4"/>
      <c r="W58" s="4"/>
      <c r="X58" s="4"/>
      <c r="Y58" s="4"/>
      <c r="Z58" s="4"/>
    </row>
    <row r="59" spans="1:26" ht="94.35" customHeight="1" x14ac:dyDescent="0.2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4"/>
      <c r="Q59" s="15"/>
      <c r="R59" s="4"/>
      <c r="S59" s="4"/>
      <c r="T59" s="4"/>
      <c r="U59" s="4"/>
      <c r="V59" s="4"/>
      <c r="W59" s="4"/>
      <c r="X59" s="4"/>
      <c r="Y59" s="4"/>
      <c r="Z59" s="4"/>
    </row>
    <row r="60" spans="1:26" ht="94.35" customHeight="1" x14ac:dyDescent="0.2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4"/>
      <c r="Q60" s="15"/>
      <c r="R60" s="4"/>
      <c r="S60" s="4"/>
      <c r="T60" s="4"/>
      <c r="U60" s="4"/>
      <c r="V60" s="4"/>
      <c r="W60" s="4"/>
      <c r="X60" s="4"/>
      <c r="Y60" s="4"/>
      <c r="Z60" s="4"/>
    </row>
    <row r="61" spans="1:26" ht="94.35" customHeight="1" x14ac:dyDescent="0.2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4"/>
      <c r="Q61" s="15"/>
      <c r="R61" s="4"/>
      <c r="S61" s="4"/>
      <c r="T61" s="4"/>
      <c r="U61" s="4"/>
      <c r="V61" s="4"/>
      <c r="W61" s="4"/>
      <c r="X61" s="4"/>
      <c r="Y61" s="4"/>
      <c r="Z61" s="4"/>
    </row>
    <row r="62" spans="1:26" ht="94.35" customHeight="1" x14ac:dyDescent="0.2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4"/>
      <c r="Q62" s="15"/>
      <c r="R62" s="4"/>
      <c r="S62" s="4"/>
      <c r="T62" s="4"/>
      <c r="U62" s="4"/>
      <c r="V62" s="4"/>
      <c r="W62" s="4"/>
      <c r="X62" s="4"/>
      <c r="Y62" s="4"/>
      <c r="Z62" s="4"/>
    </row>
    <row r="63" spans="1:26" ht="94.35" customHeight="1" x14ac:dyDescent="0.2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4"/>
      <c r="Q63" s="15"/>
      <c r="R63" s="4"/>
      <c r="S63" s="4"/>
      <c r="T63" s="4"/>
      <c r="U63" s="4"/>
      <c r="V63" s="4"/>
      <c r="W63" s="4"/>
      <c r="X63" s="4"/>
      <c r="Y63" s="4"/>
      <c r="Z63" s="4"/>
    </row>
    <row r="64" spans="1:26" ht="94.35" customHeight="1" x14ac:dyDescent="0.2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4"/>
      <c r="Q64" s="15"/>
      <c r="R64" s="4"/>
      <c r="S64" s="4"/>
      <c r="T64" s="4"/>
      <c r="U64" s="4"/>
      <c r="V64" s="4"/>
      <c r="W64" s="4"/>
      <c r="X64" s="4"/>
      <c r="Y64" s="4"/>
      <c r="Z64" s="4"/>
    </row>
    <row r="65" spans="1:26" ht="94.35" customHeight="1" x14ac:dyDescent="0.2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4"/>
      <c r="Q65" s="15"/>
      <c r="R65" s="4"/>
      <c r="S65" s="4"/>
      <c r="T65" s="4"/>
      <c r="U65" s="4"/>
      <c r="V65" s="4"/>
      <c r="W65" s="4"/>
      <c r="X65" s="4"/>
      <c r="Y65" s="4"/>
      <c r="Z65" s="4"/>
    </row>
    <row r="66" spans="1:26" ht="94.35" customHeight="1" x14ac:dyDescent="0.2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4"/>
      <c r="Q66" s="15"/>
      <c r="R66" s="4"/>
      <c r="S66" s="4"/>
      <c r="T66" s="4"/>
      <c r="U66" s="4"/>
      <c r="V66" s="4"/>
      <c r="W66" s="4"/>
      <c r="X66" s="4"/>
      <c r="Y66" s="4"/>
      <c r="Z66" s="4"/>
    </row>
    <row r="67" spans="1:26" ht="94.35" customHeight="1" x14ac:dyDescent="0.2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4"/>
      <c r="Q67" s="15"/>
      <c r="R67" s="4"/>
      <c r="S67" s="4"/>
      <c r="T67" s="4"/>
      <c r="U67" s="4"/>
      <c r="V67" s="4"/>
      <c r="W67" s="4"/>
      <c r="X67" s="4"/>
      <c r="Y67" s="4"/>
      <c r="Z67" s="4"/>
    </row>
    <row r="68" spans="1:26" ht="94.35" customHeight="1" x14ac:dyDescent="0.2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4"/>
      <c r="Q68" s="15"/>
      <c r="R68" s="4"/>
      <c r="S68" s="4"/>
      <c r="T68" s="4"/>
      <c r="U68" s="4"/>
      <c r="V68" s="4"/>
      <c r="W68" s="4"/>
      <c r="X68" s="4"/>
      <c r="Y68" s="4"/>
      <c r="Z68" s="4"/>
    </row>
    <row r="69" spans="1:26" ht="94.35" customHeight="1" x14ac:dyDescent="0.2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4"/>
      <c r="Q69" s="15"/>
      <c r="R69" s="4"/>
      <c r="S69" s="4"/>
      <c r="T69" s="4"/>
      <c r="U69" s="4"/>
      <c r="V69" s="4"/>
      <c r="W69" s="4"/>
      <c r="X69" s="4"/>
      <c r="Y69" s="4"/>
      <c r="Z69" s="4"/>
    </row>
    <row r="70" spans="1:26" ht="94.35" customHeight="1" x14ac:dyDescent="0.2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4"/>
      <c r="Q70" s="15"/>
      <c r="R70" s="4"/>
      <c r="S70" s="4"/>
      <c r="T70" s="4"/>
      <c r="U70" s="4"/>
      <c r="V70" s="4"/>
      <c r="W70" s="4"/>
      <c r="X70" s="4"/>
      <c r="Y70" s="4"/>
      <c r="Z70" s="4"/>
    </row>
    <row r="71" spans="1:26" ht="94.35" customHeight="1" x14ac:dyDescent="0.2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4"/>
      <c r="Q71" s="15"/>
      <c r="R71" s="4"/>
      <c r="S71" s="4"/>
      <c r="T71" s="4"/>
      <c r="U71" s="4"/>
      <c r="V71" s="4"/>
      <c r="W71" s="4"/>
      <c r="X71" s="4"/>
      <c r="Y71" s="4"/>
      <c r="Z71" s="4"/>
    </row>
    <row r="72" spans="1:26" ht="94.35" customHeight="1" x14ac:dyDescent="0.2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4"/>
      <c r="Q72" s="15"/>
      <c r="R72" s="4"/>
      <c r="S72" s="4"/>
      <c r="T72" s="4"/>
      <c r="U72" s="4"/>
      <c r="V72" s="4"/>
      <c r="W72" s="4"/>
      <c r="X72" s="4"/>
      <c r="Y72" s="4"/>
      <c r="Z72" s="4"/>
    </row>
    <row r="73" spans="1:26" ht="94.35" customHeight="1" x14ac:dyDescent="0.2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4"/>
      <c r="Q73" s="15"/>
      <c r="R73" s="4"/>
      <c r="S73" s="4"/>
      <c r="T73" s="4"/>
      <c r="U73" s="4"/>
      <c r="V73" s="4"/>
      <c r="W73" s="4"/>
      <c r="X73" s="4"/>
      <c r="Y73" s="4"/>
      <c r="Z73" s="4"/>
    </row>
    <row r="74" spans="1:26" ht="94.35" customHeight="1" x14ac:dyDescent="0.2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4"/>
      <c r="Q74" s="15"/>
      <c r="R74" s="4"/>
      <c r="S74" s="4"/>
      <c r="T74" s="4"/>
      <c r="U74" s="4"/>
      <c r="V74" s="4"/>
      <c r="W74" s="4"/>
      <c r="X74" s="4"/>
      <c r="Y74" s="4"/>
      <c r="Z74" s="4"/>
    </row>
    <row r="75" spans="1:26" ht="94.35" customHeight="1" x14ac:dyDescent="0.2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4"/>
      <c r="Q75" s="15"/>
      <c r="R75" s="4"/>
      <c r="S75" s="4"/>
      <c r="T75" s="4"/>
      <c r="U75" s="4"/>
      <c r="V75" s="4"/>
      <c r="W75" s="4"/>
      <c r="X75" s="4"/>
      <c r="Y75" s="4"/>
      <c r="Z75" s="4"/>
    </row>
    <row r="76" spans="1:26" ht="94.35" customHeight="1" x14ac:dyDescent="0.2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4"/>
      <c r="Q76" s="15"/>
      <c r="R76" s="4"/>
      <c r="S76" s="4"/>
      <c r="T76" s="4"/>
      <c r="U76" s="4"/>
      <c r="V76" s="4"/>
      <c r="W76" s="4"/>
      <c r="X76" s="4"/>
      <c r="Y76" s="4"/>
      <c r="Z76" s="4"/>
    </row>
    <row r="77" spans="1:26" ht="94.35" customHeight="1" x14ac:dyDescent="0.2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4"/>
      <c r="Q77" s="15"/>
      <c r="R77" s="4"/>
      <c r="S77" s="4"/>
      <c r="T77" s="4"/>
      <c r="U77" s="4"/>
      <c r="V77" s="4"/>
      <c r="W77" s="4"/>
      <c r="X77" s="4"/>
      <c r="Y77" s="4"/>
      <c r="Z77" s="4"/>
    </row>
    <row r="78" spans="1:26" ht="94.35" customHeight="1" x14ac:dyDescent="0.2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4"/>
      <c r="Q78" s="15"/>
      <c r="R78" s="4"/>
      <c r="S78" s="4"/>
      <c r="T78" s="4"/>
      <c r="U78" s="4"/>
      <c r="V78" s="4"/>
      <c r="W78" s="4"/>
      <c r="X78" s="4"/>
      <c r="Y78" s="4"/>
      <c r="Z78" s="4"/>
    </row>
    <row r="79" spans="1:26" ht="94.35" customHeight="1" x14ac:dyDescent="0.2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4"/>
      <c r="Q79" s="15"/>
      <c r="R79" s="4"/>
      <c r="S79" s="4"/>
      <c r="T79" s="4"/>
      <c r="U79" s="4"/>
      <c r="V79" s="4"/>
      <c r="W79" s="4"/>
      <c r="X79" s="4"/>
      <c r="Y79" s="4"/>
      <c r="Z79" s="4"/>
    </row>
    <row r="80" spans="1:26" ht="94.35" customHeight="1" x14ac:dyDescent="0.2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4"/>
      <c r="Q80" s="15"/>
      <c r="R80" s="4"/>
      <c r="S80" s="4"/>
      <c r="T80" s="4"/>
      <c r="U80" s="4"/>
      <c r="V80" s="4"/>
      <c r="W80" s="4"/>
      <c r="X80" s="4"/>
      <c r="Y80" s="4"/>
      <c r="Z80" s="4"/>
    </row>
    <row r="81" spans="1:26" ht="94.3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15"/>
      <c r="R81" s="4"/>
      <c r="S81" s="4"/>
      <c r="T81" s="4"/>
      <c r="U81" s="4"/>
      <c r="V81" s="4"/>
      <c r="W81" s="4"/>
      <c r="X81" s="4"/>
      <c r="Y81" s="4"/>
      <c r="Z81" s="4"/>
    </row>
    <row r="82" spans="1:26" ht="94.3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15"/>
      <c r="R82" s="4"/>
      <c r="S82" s="4"/>
      <c r="T82" s="4"/>
      <c r="U82" s="4"/>
      <c r="V82" s="4"/>
      <c r="W82" s="4"/>
      <c r="X82" s="4"/>
      <c r="Y82" s="4"/>
      <c r="Z82" s="4"/>
    </row>
    <row r="83" spans="1:26" ht="94.3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15"/>
      <c r="R83" s="4"/>
      <c r="S83" s="4"/>
      <c r="T83" s="4"/>
      <c r="U83" s="4"/>
      <c r="V83" s="4"/>
      <c r="W83" s="4"/>
      <c r="X83" s="4"/>
      <c r="Y83" s="4"/>
      <c r="Z83" s="4"/>
    </row>
    <row r="84" spans="1:26" ht="94.3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15"/>
      <c r="R84" s="4"/>
      <c r="S84" s="4"/>
      <c r="T84" s="4"/>
      <c r="U84" s="4"/>
      <c r="V84" s="4"/>
      <c r="W84" s="4"/>
      <c r="X84" s="4"/>
      <c r="Y84" s="4"/>
      <c r="Z84" s="4"/>
    </row>
    <row r="85" spans="1:26" ht="94.3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15"/>
      <c r="R85" s="4"/>
      <c r="S85" s="4"/>
      <c r="T85" s="4"/>
      <c r="U85" s="4"/>
      <c r="V85" s="4"/>
      <c r="W85" s="4"/>
      <c r="X85" s="4"/>
      <c r="Y85" s="4"/>
      <c r="Z85" s="4"/>
    </row>
    <row r="86" spans="1:26" ht="94.3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15"/>
      <c r="R86" s="4"/>
      <c r="S86" s="4"/>
      <c r="T86" s="4"/>
      <c r="U86" s="4"/>
      <c r="V86" s="4"/>
      <c r="W86" s="4"/>
      <c r="X86" s="4"/>
      <c r="Y86" s="4"/>
      <c r="Z86" s="4"/>
    </row>
    <row r="87" spans="1:26" ht="94.3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15"/>
      <c r="R87" s="4"/>
      <c r="S87" s="4"/>
      <c r="T87" s="4"/>
      <c r="U87" s="4"/>
      <c r="V87" s="4"/>
      <c r="W87" s="4"/>
      <c r="X87" s="4"/>
      <c r="Y87" s="4"/>
      <c r="Z87" s="4"/>
    </row>
    <row r="88" spans="1:26" ht="94.3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15"/>
      <c r="R88" s="4"/>
      <c r="S88" s="4"/>
      <c r="T88" s="4"/>
      <c r="U88" s="4"/>
      <c r="V88" s="4"/>
      <c r="W88" s="4"/>
      <c r="X88" s="4"/>
      <c r="Y88" s="4"/>
      <c r="Z88" s="4"/>
    </row>
    <row r="89" spans="1:26" ht="94.3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15"/>
      <c r="R89" s="4"/>
      <c r="S89" s="4"/>
      <c r="T89" s="4"/>
      <c r="U89" s="4"/>
      <c r="V89" s="4"/>
      <c r="W89" s="4"/>
      <c r="X89" s="4"/>
      <c r="Y89" s="4"/>
      <c r="Z89" s="4"/>
    </row>
    <row r="90" spans="1:26" ht="94.3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15"/>
      <c r="R90" s="4"/>
      <c r="S90" s="4"/>
      <c r="T90" s="4"/>
      <c r="U90" s="4"/>
      <c r="V90" s="4"/>
      <c r="W90" s="4"/>
      <c r="X90" s="4"/>
      <c r="Y90" s="4"/>
      <c r="Z90" s="4"/>
    </row>
    <row r="91" spans="1:26" ht="94.3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15"/>
      <c r="R91" s="4"/>
      <c r="S91" s="4"/>
      <c r="T91" s="4"/>
      <c r="U91" s="4"/>
      <c r="V91" s="4"/>
      <c r="W91" s="4"/>
      <c r="X91" s="4"/>
      <c r="Y91" s="4"/>
      <c r="Z91" s="4"/>
    </row>
    <row r="92" spans="1:26" ht="94.3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15"/>
      <c r="R92" s="4"/>
      <c r="S92" s="4"/>
      <c r="T92" s="4"/>
      <c r="U92" s="4"/>
      <c r="V92" s="4"/>
      <c r="W92" s="4"/>
      <c r="X92" s="4"/>
      <c r="Y92" s="4"/>
      <c r="Z92" s="4"/>
    </row>
    <row r="93" spans="1:26" ht="94.3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15"/>
      <c r="R93" s="4"/>
      <c r="S93" s="4"/>
      <c r="T93" s="4"/>
      <c r="U93" s="4"/>
      <c r="V93" s="4"/>
      <c r="W93" s="4"/>
      <c r="X93" s="4"/>
      <c r="Y93" s="4"/>
      <c r="Z93" s="4"/>
    </row>
    <row r="94" spans="1:26" ht="94.3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15"/>
      <c r="R94" s="4"/>
      <c r="S94" s="4"/>
      <c r="T94" s="4"/>
      <c r="U94" s="4"/>
      <c r="V94" s="4"/>
      <c r="W94" s="4"/>
      <c r="X94" s="4"/>
      <c r="Y94" s="4"/>
      <c r="Z94" s="4"/>
    </row>
    <row r="95" spans="1:26" ht="94.3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15"/>
      <c r="R95" s="4"/>
      <c r="S95" s="4"/>
      <c r="T95" s="4"/>
      <c r="U95" s="4"/>
      <c r="V95" s="4"/>
      <c r="W95" s="4"/>
      <c r="X95" s="4"/>
      <c r="Y95" s="4"/>
      <c r="Z95" s="4"/>
    </row>
    <row r="96" spans="1:26" ht="94.3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15"/>
      <c r="R96" s="4"/>
      <c r="S96" s="4"/>
      <c r="T96" s="4"/>
      <c r="U96" s="4"/>
      <c r="V96" s="4"/>
      <c r="W96" s="4"/>
      <c r="X96" s="4"/>
      <c r="Y96" s="4"/>
      <c r="Z96" s="4"/>
    </row>
    <row r="97" spans="1:26" ht="94.3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15"/>
      <c r="R97" s="4"/>
      <c r="S97" s="4"/>
      <c r="T97" s="4"/>
      <c r="U97" s="4"/>
      <c r="V97" s="4"/>
      <c r="W97" s="4"/>
      <c r="X97" s="4"/>
      <c r="Y97" s="4"/>
      <c r="Z97" s="4"/>
    </row>
    <row r="98" spans="1:26" ht="94.3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15"/>
      <c r="R98" s="4"/>
      <c r="S98" s="4"/>
      <c r="T98" s="4"/>
      <c r="U98" s="4"/>
      <c r="V98" s="4"/>
      <c r="W98" s="4"/>
      <c r="X98" s="4"/>
      <c r="Y98" s="4"/>
      <c r="Z98" s="4"/>
    </row>
    <row r="99" spans="1:26" ht="94.3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15"/>
      <c r="R99" s="4"/>
      <c r="S99" s="4"/>
      <c r="T99" s="4"/>
      <c r="U99" s="4"/>
      <c r="V99" s="4"/>
      <c r="W99" s="4"/>
      <c r="X99" s="4"/>
      <c r="Y99" s="4"/>
      <c r="Z99" s="4"/>
    </row>
    <row r="100" spans="1:26" ht="94.3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15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0.199999999999999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15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0.199999999999999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15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0.199999999999999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15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0.199999999999999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15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0.199999999999999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15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0.199999999999999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15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0.199999999999999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15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0.199999999999999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15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0.199999999999999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15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0.199999999999999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15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0.199999999999999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15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0.199999999999999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15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0.199999999999999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15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0.199999999999999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15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0.199999999999999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15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0.199999999999999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15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0.199999999999999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15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0.199999999999999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15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0.199999999999999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15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0.199999999999999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15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0.199999999999999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15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0.199999999999999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15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0.199999999999999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15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0.199999999999999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15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0.199999999999999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15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0.199999999999999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15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0.199999999999999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15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0.199999999999999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15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0.199999999999999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15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0.199999999999999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15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0.199999999999999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15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0.199999999999999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15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0.199999999999999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15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0.199999999999999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15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0.199999999999999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15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0.199999999999999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15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0.199999999999999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15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0.199999999999999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15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0.199999999999999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15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0.199999999999999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15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0.199999999999999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15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0.199999999999999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15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0.199999999999999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15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0.199999999999999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15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0.199999999999999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15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0.199999999999999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15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0.199999999999999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15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0.199999999999999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15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0.199999999999999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15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0.199999999999999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15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0.199999999999999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15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0.199999999999999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15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0.199999999999999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15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0.199999999999999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15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0.199999999999999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15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0.199999999999999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15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0.199999999999999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15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0.199999999999999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15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0.199999999999999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15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0.199999999999999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15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0.199999999999999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15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0.199999999999999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15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0.199999999999999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15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0.199999999999999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15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0.199999999999999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15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0.199999999999999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15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0.199999999999999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15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0.199999999999999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15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0.199999999999999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15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0.199999999999999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15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0.199999999999999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15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0.199999999999999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15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0.199999999999999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15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0.199999999999999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15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0.199999999999999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15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0.199999999999999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15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0.199999999999999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15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0.199999999999999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15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0.199999999999999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15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0.199999999999999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15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0.199999999999999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15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0.199999999999999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15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0.199999999999999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15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0.199999999999999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15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0.199999999999999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15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0.199999999999999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15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0.199999999999999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15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0.199999999999999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15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0.199999999999999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15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0.199999999999999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15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0.199999999999999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15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0.199999999999999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15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0.199999999999999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15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0.199999999999999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15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0.199999999999999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15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0.199999999999999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15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0.199999999999999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15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0.199999999999999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15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0.199999999999999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15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0.199999999999999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15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0.199999999999999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15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0.199999999999999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15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0.199999999999999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15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0.199999999999999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15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0.199999999999999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15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0.199999999999999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15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0.199999999999999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15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0.199999999999999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15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0.199999999999999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15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0.199999999999999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15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0.199999999999999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15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0.199999999999999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15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0.199999999999999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15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0.199999999999999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15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0.199999999999999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15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0.199999999999999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15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0.199999999999999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15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0.199999999999999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15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0.199999999999999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15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0.199999999999999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15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0.199999999999999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15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0.199999999999999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15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0.199999999999999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15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0.199999999999999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15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0.199999999999999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15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0.199999999999999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15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0.199999999999999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15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0.199999999999999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15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0.199999999999999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15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0.199999999999999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15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0.199999999999999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15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0.199999999999999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15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0.199999999999999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15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0.199999999999999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15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0.199999999999999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15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0.199999999999999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15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0.199999999999999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15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0.199999999999999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15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0.199999999999999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15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0.199999999999999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15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0.199999999999999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15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0.199999999999999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15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0.199999999999999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15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0.199999999999999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15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0.199999999999999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15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0.199999999999999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15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0.199999999999999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15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0.199999999999999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15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0.199999999999999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15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0.199999999999999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15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0.199999999999999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15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0.199999999999999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15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0.199999999999999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15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0.199999999999999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15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0.199999999999999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15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0.199999999999999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15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0.199999999999999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15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0.199999999999999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15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0.199999999999999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15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0.199999999999999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15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0.199999999999999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15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0.199999999999999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15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0.199999999999999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15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0.199999999999999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15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0.199999999999999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15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0.199999999999999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15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0.199999999999999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15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0.199999999999999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15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0.199999999999999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15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0.199999999999999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15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0.199999999999999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15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0.199999999999999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15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0.199999999999999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15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0.199999999999999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15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0.199999999999999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15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0.199999999999999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15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0.199999999999999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15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0.199999999999999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15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0.199999999999999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15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0.199999999999999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15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0.199999999999999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15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0.199999999999999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15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0.199999999999999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15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0.199999999999999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15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0.199999999999999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15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0.199999999999999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15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0.199999999999999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15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0.199999999999999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15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0.199999999999999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15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0.199999999999999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15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0.199999999999999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15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0.199999999999999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15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0.199999999999999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15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0.199999999999999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15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0.199999999999999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15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0.199999999999999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15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0.199999999999999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15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0.199999999999999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15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0.199999999999999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15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0.199999999999999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15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0.199999999999999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15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0.199999999999999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15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0.199999999999999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15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0.199999999999999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15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0.199999999999999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15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0.199999999999999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15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0.199999999999999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15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0.199999999999999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15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0.199999999999999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15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0.199999999999999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15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0.199999999999999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15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0.199999999999999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15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0.199999999999999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15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0.199999999999999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15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0.199999999999999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15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0.199999999999999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15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0.199999999999999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15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0.199999999999999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15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0.199999999999999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15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0.199999999999999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15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0.199999999999999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15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0.199999999999999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15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0.199999999999999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15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0.199999999999999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15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0.199999999999999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15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0.199999999999999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15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0.199999999999999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15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0.199999999999999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15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0.199999999999999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15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0.199999999999999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15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0.199999999999999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15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0.199999999999999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15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0.199999999999999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15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0.199999999999999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15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0.199999999999999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15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0.199999999999999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15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0.199999999999999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15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0.199999999999999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15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0.199999999999999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15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0.199999999999999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15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0.199999999999999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15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0.199999999999999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15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0.199999999999999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15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0.199999999999999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15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0.199999999999999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15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0.199999999999999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15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0.199999999999999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15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0.199999999999999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15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0.199999999999999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15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0.199999999999999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15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0.199999999999999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15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0.199999999999999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15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0.199999999999999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15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0.199999999999999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15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0.199999999999999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15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0.199999999999999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15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0.199999999999999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15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0.199999999999999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15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0.199999999999999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15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0.199999999999999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15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0.199999999999999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15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0.199999999999999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15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0.199999999999999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15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0.199999999999999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15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0.199999999999999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15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0.199999999999999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15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0.199999999999999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15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0.199999999999999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15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0.199999999999999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15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0.199999999999999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15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0.199999999999999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15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0.199999999999999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15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0.199999999999999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15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0.199999999999999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15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0.199999999999999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15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0.199999999999999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15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0.199999999999999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15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0.199999999999999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15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0.199999999999999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15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0.199999999999999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15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0.199999999999999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15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0.199999999999999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15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0.199999999999999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15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0.199999999999999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15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0.199999999999999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15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0.199999999999999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15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0.199999999999999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15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0.199999999999999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15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0.199999999999999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15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0.199999999999999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15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0.199999999999999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15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0.199999999999999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15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0.199999999999999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15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0.199999999999999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15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0.199999999999999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15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0.199999999999999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15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0.199999999999999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15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0.199999999999999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15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0.199999999999999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15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0.199999999999999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15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0.199999999999999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15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0.199999999999999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15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0.199999999999999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15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0.199999999999999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15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0.199999999999999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15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0.199999999999999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15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0.199999999999999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15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0.199999999999999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15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0.199999999999999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15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0.199999999999999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15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0.199999999999999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15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0.199999999999999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15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0.199999999999999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15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0.199999999999999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15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0.199999999999999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15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0.199999999999999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15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0.199999999999999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15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0.199999999999999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15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0.199999999999999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15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0.199999999999999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15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0.199999999999999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15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0.199999999999999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15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0.199999999999999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15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0.199999999999999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15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0.199999999999999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15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0.199999999999999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15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0.199999999999999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15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0.199999999999999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15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0.199999999999999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15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0.199999999999999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15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0.199999999999999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15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0.199999999999999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15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0.199999999999999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15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0.199999999999999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15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0.199999999999999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15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0.199999999999999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15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0.199999999999999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15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0.199999999999999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15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0.199999999999999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15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0.199999999999999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15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0.199999999999999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15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0.199999999999999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15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0.199999999999999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15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0.199999999999999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15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0.199999999999999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15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0.199999999999999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15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0.199999999999999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15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0.199999999999999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15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0.199999999999999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15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0.199999999999999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15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0.199999999999999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15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0.199999999999999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15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0.199999999999999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15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0.199999999999999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15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0.199999999999999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15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0.199999999999999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15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0.199999999999999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15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0.199999999999999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15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0.199999999999999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15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0.199999999999999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15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0.199999999999999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15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0.199999999999999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15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0.199999999999999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15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0.199999999999999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15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0.199999999999999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15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0.199999999999999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15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0.199999999999999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15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0.199999999999999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15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0.199999999999999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15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0.199999999999999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15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0.199999999999999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15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0.199999999999999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15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0.199999999999999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15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0.199999999999999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15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0.199999999999999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15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0.199999999999999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15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0.199999999999999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15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0.199999999999999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15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0.199999999999999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15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0.199999999999999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15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0.199999999999999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15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0.199999999999999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15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0.199999999999999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15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0.199999999999999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15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0.199999999999999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15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0.199999999999999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15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0.199999999999999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15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0.199999999999999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15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0.199999999999999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15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0.199999999999999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15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0.199999999999999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15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0.199999999999999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15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0.199999999999999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15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0.199999999999999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15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0.199999999999999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15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0.199999999999999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15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0.199999999999999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15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0.199999999999999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15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0.199999999999999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15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0.199999999999999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15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0.199999999999999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15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0.199999999999999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15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0.199999999999999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15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0.199999999999999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15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0.199999999999999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15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0.199999999999999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15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0.199999999999999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15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0.199999999999999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15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0.199999999999999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15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0.199999999999999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15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0.199999999999999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15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0.199999999999999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15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0.199999999999999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15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0.199999999999999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15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0.199999999999999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15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0.199999999999999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15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0.199999999999999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15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0.199999999999999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15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0.199999999999999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15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0.199999999999999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15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0.199999999999999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15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0.199999999999999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15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0.199999999999999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15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0.199999999999999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15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0.199999999999999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15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0.199999999999999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15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0.199999999999999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15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0.199999999999999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15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0.199999999999999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15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0.199999999999999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15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0.199999999999999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15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0.199999999999999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15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0.199999999999999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15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0.199999999999999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15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0.199999999999999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15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0.199999999999999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15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0.199999999999999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15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0.199999999999999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15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0.199999999999999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15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0.199999999999999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15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0.199999999999999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15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0.199999999999999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15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0.199999999999999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15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0.199999999999999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15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0.199999999999999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15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0.199999999999999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15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0.199999999999999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15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0.199999999999999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15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0.199999999999999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15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0.199999999999999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15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0.199999999999999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15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0.199999999999999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15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0.199999999999999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15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0.199999999999999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15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0.199999999999999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15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0.199999999999999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15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0.199999999999999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15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0.199999999999999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15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0.199999999999999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15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0.199999999999999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15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0.199999999999999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15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0.199999999999999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15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0.199999999999999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15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0.199999999999999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15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0.199999999999999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15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0.199999999999999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15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0.199999999999999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15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0.199999999999999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15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0.199999999999999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15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0.199999999999999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15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0.199999999999999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15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0.199999999999999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15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0.199999999999999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15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0.199999999999999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15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0.199999999999999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15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0.199999999999999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15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0.199999999999999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15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0.199999999999999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15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0.199999999999999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15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0.199999999999999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15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0.199999999999999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15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0.199999999999999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15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0.199999999999999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15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0.199999999999999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15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0.199999999999999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15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0.199999999999999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15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0.199999999999999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15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0.199999999999999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15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0.199999999999999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15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0.199999999999999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15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0.199999999999999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15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0.199999999999999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15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0.199999999999999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15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0.199999999999999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15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0.199999999999999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15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0.199999999999999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15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0.199999999999999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15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0.199999999999999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15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0.199999999999999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15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0.199999999999999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15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0.199999999999999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15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0.199999999999999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15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0.199999999999999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15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0.199999999999999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15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0.199999999999999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15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0.199999999999999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15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0.199999999999999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15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0.199999999999999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15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0.199999999999999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15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0.199999999999999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15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0.199999999999999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15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0.199999999999999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15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0.199999999999999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15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0.199999999999999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15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0.199999999999999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15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0.199999999999999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15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0.199999999999999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15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0.199999999999999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15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0.199999999999999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15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0.199999999999999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15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0.199999999999999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15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0.199999999999999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15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0.199999999999999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15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0.199999999999999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15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0.199999999999999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15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0.199999999999999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15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0.199999999999999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15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0.199999999999999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15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0.199999999999999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15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0.199999999999999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15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0.199999999999999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15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0.199999999999999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15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0.199999999999999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15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0.199999999999999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15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0.199999999999999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15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0.199999999999999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15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0.199999999999999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15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0.199999999999999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15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0.199999999999999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15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0.199999999999999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15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0.199999999999999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15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0.199999999999999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15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0.199999999999999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15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0.199999999999999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15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0.199999999999999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15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0.199999999999999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15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0.199999999999999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15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0.199999999999999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15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0.199999999999999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15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0.199999999999999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15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0.199999999999999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15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0.199999999999999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15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0.199999999999999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15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0.199999999999999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15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0.199999999999999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15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0.199999999999999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15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0.199999999999999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15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0.199999999999999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15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0.199999999999999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15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0.199999999999999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15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0.199999999999999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15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0.199999999999999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15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0.199999999999999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15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0.199999999999999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15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0.199999999999999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15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0.199999999999999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15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0.199999999999999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15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0.199999999999999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15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0.199999999999999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15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0.199999999999999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15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0.199999999999999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15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0.199999999999999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15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0.199999999999999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15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0.199999999999999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15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0.199999999999999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15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0.199999999999999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15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0.199999999999999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15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0.199999999999999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15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0.199999999999999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15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0.199999999999999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15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0.199999999999999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15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0.199999999999999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15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0.199999999999999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15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0.199999999999999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15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0.199999999999999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15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0.199999999999999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15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0.199999999999999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15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0.199999999999999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15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0.199999999999999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15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0.199999999999999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15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0.199999999999999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15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0.199999999999999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15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0.199999999999999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15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0.199999999999999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15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0.199999999999999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15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0.199999999999999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15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0.199999999999999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15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0.199999999999999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15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0.199999999999999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15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0.199999999999999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15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0.199999999999999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15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0.199999999999999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15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0.199999999999999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15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0.199999999999999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15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0.199999999999999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15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0.199999999999999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15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0.199999999999999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15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0.199999999999999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15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0.199999999999999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15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0.199999999999999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15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0.199999999999999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15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0.199999999999999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15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0.199999999999999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15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0.199999999999999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15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0.199999999999999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15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0.199999999999999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15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0.199999999999999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15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0.199999999999999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15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0.199999999999999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15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0.199999999999999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15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0.199999999999999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15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0.199999999999999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15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0.199999999999999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15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0.199999999999999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15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0.199999999999999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15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0.199999999999999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15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0.199999999999999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15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0.199999999999999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15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0.199999999999999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15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0.199999999999999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15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0.199999999999999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15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0.199999999999999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15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0.199999999999999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15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0.199999999999999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15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0.199999999999999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15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0.199999999999999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15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0.199999999999999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15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0.199999999999999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15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0.199999999999999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15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0.199999999999999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15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0.199999999999999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15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0.199999999999999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15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0.199999999999999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15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0.199999999999999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15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0.199999999999999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15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0.199999999999999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15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0.199999999999999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15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0.199999999999999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15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0.199999999999999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15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0.199999999999999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15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0.199999999999999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15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0.199999999999999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15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0.199999999999999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15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0.199999999999999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15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0.199999999999999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15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0.199999999999999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15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0.199999999999999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15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0.199999999999999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15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0.199999999999999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15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0.199999999999999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15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0.199999999999999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15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0.199999999999999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15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0.199999999999999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15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0.199999999999999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15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0.199999999999999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15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0.199999999999999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15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0.199999999999999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15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0.199999999999999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15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0.199999999999999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15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0.199999999999999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15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0.199999999999999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15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0.199999999999999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15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0.199999999999999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15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0.199999999999999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15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0.199999999999999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15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0.199999999999999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15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0.199999999999999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15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0.199999999999999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15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0.199999999999999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15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0.199999999999999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15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0.199999999999999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15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0.199999999999999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15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0.199999999999999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15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0.199999999999999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15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0.199999999999999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15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0.199999999999999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15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0.199999999999999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15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0.199999999999999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15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0.199999999999999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15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0.199999999999999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15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0.199999999999999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15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0.199999999999999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15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0.199999999999999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15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0.199999999999999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15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0.199999999999999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15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0.199999999999999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15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0.199999999999999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15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0.199999999999999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15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0.199999999999999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15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0.199999999999999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15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0.199999999999999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15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0.199999999999999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15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0.199999999999999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15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0.199999999999999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15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0.199999999999999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15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0.199999999999999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15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0.199999999999999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15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0.199999999999999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15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0.199999999999999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15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0.199999999999999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15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0.199999999999999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15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0.199999999999999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15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0.199999999999999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15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0.199999999999999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15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0.199999999999999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15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0.199999999999999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15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0.199999999999999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15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0.199999999999999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15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0.199999999999999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15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0.199999999999999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15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0.199999999999999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15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0.199999999999999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15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0.199999999999999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15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0.199999999999999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15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0.199999999999999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15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0.199999999999999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15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0.199999999999999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15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0.199999999999999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15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0.199999999999999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15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0.199999999999999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15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0.199999999999999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15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0.199999999999999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15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0.199999999999999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15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0.199999999999999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15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0.199999999999999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15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0.199999999999999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15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0.199999999999999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15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0.199999999999999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15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0.199999999999999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15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0.199999999999999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15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0.199999999999999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15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0.199999999999999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15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0.199999999999999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15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0.199999999999999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15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0.199999999999999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15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0.199999999999999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15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0.199999999999999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15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0.199999999999999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15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0.199999999999999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15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0.199999999999999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15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0.199999999999999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15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0.199999999999999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15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0.199999999999999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15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0.199999999999999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15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0.199999999999999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15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0.199999999999999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15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0.199999999999999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15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0.199999999999999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15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0.199999999999999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15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0.199999999999999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15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0.199999999999999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15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0.199999999999999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15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0.199999999999999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15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0.199999999999999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15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0.199999999999999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15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0.199999999999999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15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0.199999999999999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15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0.199999999999999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15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0.199999999999999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15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0.199999999999999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15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0.199999999999999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15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0.199999999999999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15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0.199999999999999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15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0.199999999999999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15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0.199999999999999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15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0.199999999999999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15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0.199999999999999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15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0.199999999999999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15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0.199999999999999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15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0.199999999999999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15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0.199999999999999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15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0.199999999999999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15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0.199999999999999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15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0.199999999999999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15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0.199999999999999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15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0.199999999999999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15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0.199999999999999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15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0.199999999999999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15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0.199999999999999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15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0.199999999999999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15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0.199999999999999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15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0.199999999999999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15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0.199999999999999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15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0.199999999999999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15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0.199999999999999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15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0.199999999999999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15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0.199999999999999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15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0.199999999999999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15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0.199999999999999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15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0.199999999999999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15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0.199999999999999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15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0.199999999999999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15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0.199999999999999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15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0.199999999999999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15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0.199999999999999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15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0.199999999999999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15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0.199999999999999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15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0.199999999999999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15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0.199999999999999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15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0.199999999999999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15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0.199999999999999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15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0.199999999999999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15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0.199999999999999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15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0.199999999999999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15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0.199999999999999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15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0.199999999999999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15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0.199999999999999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15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0.199999999999999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15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0.199999999999999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15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0.199999999999999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15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0.199999999999999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15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0.199999999999999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15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0.199999999999999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15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0.199999999999999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15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0.199999999999999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15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0.199999999999999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15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0.199999999999999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15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0.199999999999999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15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0.199999999999999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15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0.199999999999999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15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0.199999999999999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15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0.199999999999999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15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0.199999999999999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15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0.199999999999999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15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0.199999999999999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15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0.199999999999999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15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0.199999999999999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15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0.199999999999999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15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0.199999999999999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15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0.199999999999999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15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0.199999999999999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15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0.199999999999999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15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0.199999999999999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15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0.199999999999999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15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0.199999999999999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15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0.199999999999999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15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0.199999999999999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15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0.199999999999999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15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0.199999999999999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15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0.199999999999999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15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0.199999999999999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15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0.199999999999999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15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0.199999999999999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15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0.199999999999999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15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0.199999999999999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15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0.199999999999999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15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0.199999999999999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15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0.199999999999999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15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0.199999999999999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15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0.199999999999999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15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0.199999999999999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15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0.199999999999999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15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0.199999999999999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15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0.199999999999999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15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0.199999999999999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15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0.199999999999999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15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0.199999999999999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15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0.199999999999999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15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0.199999999999999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15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0.199999999999999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15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0.199999999999999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15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0.199999999999999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15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0.199999999999999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15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0.199999999999999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15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0.199999999999999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15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0.199999999999999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15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0.199999999999999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15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0.199999999999999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15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0.199999999999999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15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0.199999999999999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15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0.199999999999999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15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0.199999999999999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15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0.199999999999999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15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0.199999999999999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15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0.199999999999999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15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0.199999999999999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15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0.199999999999999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15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0.199999999999999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15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0.199999999999999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15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0.199999999999999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15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0.199999999999999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15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0.199999999999999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15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0.199999999999999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15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0.199999999999999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15"/>
      <c r="R994" s="4"/>
      <c r="S994" s="4"/>
      <c r="T994" s="4"/>
      <c r="U994" s="4"/>
      <c r="V994" s="4"/>
      <c r="W994" s="4"/>
      <c r="X994" s="4"/>
      <c r="Y994" s="4"/>
      <c r="Z994" s="4"/>
    </row>
  </sheetData>
  <mergeCells count="4">
    <mergeCell ref="B1:E1"/>
    <mergeCell ref="A2:A3"/>
    <mergeCell ref="B2:E3"/>
    <mergeCell ref="B4:E4"/>
  </mergeCells>
  <dataValidations count="1">
    <dataValidation type="list" allowBlank="1" showErrorMessage="1" sqref="G2:G3 J2:J3 M2:M3 G9 J9 M9 F12:F13 I12:I13 L12:L13 F15 I15 L15 F17:F18 I17:I18 L17:L18 G19:G141 J19:J141 M19:M141" xr:uid="{00000000-0002-0000-0600-000000000000}">
      <formula1>$R$2:$R$5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topLeftCell="A15" workbookViewId="0"/>
  </sheetViews>
  <sheetFormatPr defaultColWidth="12.6640625" defaultRowHeight="13.2" x14ac:dyDescent="0.2"/>
  <cols>
    <col min="1" max="1" width="14" customWidth="1"/>
    <col min="2" max="2" width="34" customWidth="1"/>
    <col min="3" max="3" width="58" customWidth="1"/>
    <col min="4" max="4" width="48" customWidth="1"/>
    <col min="5" max="5" width="38" customWidth="1"/>
    <col min="6" max="6" width="9.33203125" customWidth="1"/>
    <col min="7" max="7" width="13" customWidth="1"/>
    <col min="8" max="8" width="8.77734375" customWidth="1"/>
    <col min="9" max="9" width="9.33203125" customWidth="1"/>
    <col min="10" max="10" width="13" customWidth="1"/>
    <col min="11" max="11" width="8.21875" customWidth="1"/>
    <col min="12" max="12" width="9.33203125" customWidth="1"/>
    <col min="13" max="13" width="13" customWidth="1"/>
    <col min="14" max="14" width="9.44140625" customWidth="1"/>
    <col min="15" max="15" width="28.6640625" customWidth="1"/>
    <col min="16" max="16" width="10.109375" customWidth="1"/>
    <col min="17" max="17" width="8.109375" customWidth="1"/>
    <col min="18" max="18" width="7.6640625" hidden="1" customWidth="1"/>
    <col min="19" max="26" width="9" customWidth="1"/>
  </cols>
  <sheetData>
    <row r="1" spans="1:26" ht="10.199999999999999" customHeight="1" x14ac:dyDescent="0.25">
      <c r="A1" s="53"/>
      <c r="B1" s="154"/>
      <c r="C1" s="154"/>
      <c r="D1" s="154"/>
      <c r="E1" s="154"/>
      <c r="F1" s="18"/>
      <c r="G1" s="18"/>
      <c r="H1" s="18"/>
      <c r="I1" s="18"/>
      <c r="J1" s="18"/>
      <c r="K1" s="18"/>
      <c r="L1" s="18"/>
      <c r="M1" s="18"/>
      <c r="N1" s="18"/>
      <c r="O1" s="18"/>
      <c r="P1" s="4"/>
      <c r="Q1" s="15"/>
      <c r="R1" s="4"/>
      <c r="S1" s="4"/>
      <c r="T1" s="4"/>
      <c r="U1" s="4"/>
      <c r="V1" s="4"/>
      <c r="W1" s="4"/>
      <c r="X1" s="4"/>
      <c r="Y1" s="4"/>
      <c r="Z1" s="4"/>
    </row>
    <row r="2" spans="1:26" ht="33.6" customHeight="1" x14ac:dyDescent="0.25">
      <c r="A2" s="155" t="s">
        <v>29</v>
      </c>
      <c r="B2" s="156" t="s">
        <v>474</v>
      </c>
      <c r="C2" s="157"/>
      <c r="D2" s="157"/>
      <c r="E2" s="157"/>
      <c r="F2" s="16"/>
      <c r="G2" s="17"/>
      <c r="H2" s="18"/>
      <c r="I2" s="16"/>
      <c r="J2" s="17"/>
      <c r="K2" s="18"/>
      <c r="L2" s="16"/>
      <c r="M2" s="17"/>
      <c r="N2" s="18"/>
      <c r="O2" s="18"/>
      <c r="P2" s="18"/>
      <c r="Q2" s="19"/>
      <c r="R2" s="20" t="s">
        <v>24</v>
      </c>
      <c r="S2" s="20"/>
      <c r="T2" s="20"/>
      <c r="U2" s="20"/>
      <c r="V2" s="20"/>
      <c r="W2" s="20"/>
      <c r="X2" s="20"/>
      <c r="Y2" s="20"/>
      <c r="Z2" s="20"/>
    </row>
    <row r="3" spans="1:26" ht="33.6" customHeight="1" x14ac:dyDescent="0.25">
      <c r="A3" s="155" t="s">
        <v>30</v>
      </c>
      <c r="B3" s="156" t="s">
        <v>475</v>
      </c>
      <c r="C3" s="157"/>
      <c r="D3" s="157"/>
      <c r="E3" s="157"/>
      <c r="F3" s="16"/>
      <c r="G3" s="17"/>
      <c r="H3" s="18"/>
      <c r="I3" s="16"/>
      <c r="J3" s="17"/>
      <c r="K3" s="18"/>
      <c r="L3" s="16"/>
      <c r="M3" s="17"/>
      <c r="N3" s="18"/>
      <c r="O3" s="18"/>
      <c r="P3" s="18"/>
      <c r="Q3" s="19"/>
      <c r="R3" s="20" t="s">
        <v>25</v>
      </c>
      <c r="S3" s="20"/>
      <c r="T3" s="20"/>
      <c r="U3" s="20"/>
      <c r="V3" s="20"/>
      <c r="W3" s="20"/>
      <c r="X3" s="20"/>
      <c r="Y3" s="20"/>
      <c r="Z3" s="20"/>
    </row>
    <row r="4" spans="1:26" ht="14.4" customHeight="1" x14ac:dyDescent="0.25">
      <c r="A4" s="52" t="s">
        <v>31</v>
      </c>
      <c r="B4" s="156">
        <v>8</v>
      </c>
      <c r="C4" s="157"/>
      <c r="D4" s="157"/>
      <c r="E4" s="157"/>
      <c r="F4" s="16"/>
      <c r="G4" s="17"/>
      <c r="H4" s="18"/>
      <c r="I4" s="16"/>
      <c r="J4" s="17"/>
      <c r="K4" s="18"/>
      <c r="L4" s="16"/>
      <c r="M4" s="17"/>
      <c r="N4" s="18"/>
      <c r="O4" s="18"/>
      <c r="P4" s="18"/>
      <c r="Q4" s="19"/>
      <c r="R4" s="20" t="s">
        <v>26</v>
      </c>
      <c r="S4" s="20"/>
      <c r="T4" s="20"/>
      <c r="U4" s="20"/>
      <c r="V4" s="20"/>
      <c r="W4" s="20"/>
      <c r="X4" s="20"/>
      <c r="Y4" s="20"/>
      <c r="Z4" s="20"/>
    </row>
    <row r="5" spans="1:26" ht="15.6" customHeight="1" x14ac:dyDescent="0.25">
      <c r="A5" s="51" t="s">
        <v>360</v>
      </c>
      <c r="B5" s="51" t="s">
        <v>24</v>
      </c>
      <c r="C5" s="51" t="s">
        <v>25</v>
      </c>
      <c r="D5" s="51" t="s">
        <v>26</v>
      </c>
      <c r="E5" s="51" t="s">
        <v>27</v>
      </c>
      <c r="F5" s="21"/>
      <c r="G5" s="21"/>
      <c r="H5" s="22"/>
      <c r="I5" s="21"/>
      <c r="J5" s="21"/>
      <c r="K5" s="22"/>
      <c r="L5" s="21"/>
      <c r="M5" s="21"/>
      <c r="N5" s="22"/>
      <c r="O5" s="22"/>
      <c r="P5" s="22"/>
      <c r="Q5" s="23"/>
      <c r="R5" s="20" t="s">
        <v>27</v>
      </c>
      <c r="S5" s="20"/>
      <c r="T5" s="20"/>
      <c r="U5" s="20"/>
      <c r="V5" s="20"/>
      <c r="W5" s="20"/>
      <c r="X5" s="20"/>
      <c r="Y5" s="20"/>
      <c r="Z5" s="20"/>
    </row>
    <row r="6" spans="1:26" ht="12" customHeight="1" x14ac:dyDescent="0.25">
      <c r="A6" s="51" t="s">
        <v>361</v>
      </c>
      <c r="B6" s="51">
        <f t="shared" ref="B6:E6" si="0">COUNTIF($F$12:$F$1005,B$5)</f>
        <v>8</v>
      </c>
      <c r="C6" s="51">
        <f t="shared" si="0"/>
        <v>0</v>
      </c>
      <c r="D6" s="51">
        <f t="shared" si="0"/>
        <v>0</v>
      </c>
      <c r="E6" s="51">
        <f t="shared" si="0"/>
        <v>0</v>
      </c>
      <c r="F6" s="24"/>
      <c r="G6" s="24"/>
      <c r="H6" s="22"/>
      <c r="I6" s="24"/>
      <c r="J6" s="24"/>
      <c r="K6" s="22"/>
      <c r="L6" s="24"/>
      <c r="M6" s="24"/>
      <c r="N6" s="22"/>
      <c r="O6" s="22"/>
      <c r="P6" s="22"/>
      <c r="Q6" s="23"/>
      <c r="R6" s="20"/>
      <c r="S6" s="20"/>
      <c r="T6" s="20"/>
      <c r="U6" s="20"/>
      <c r="V6" s="20"/>
      <c r="W6" s="20"/>
      <c r="X6" s="20"/>
      <c r="Y6" s="20"/>
      <c r="Z6" s="20"/>
    </row>
    <row r="7" spans="1:26" ht="12" customHeight="1" x14ac:dyDescent="0.25">
      <c r="A7" s="51" t="s">
        <v>362</v>
      </c>
      <c r="B7" s="51">
        <f t="shared" ref="B7:E7" si="1">COUNTIF($I$12:$I$1005,B$5)</f>
        <v>8</v>
      </c>
      <c r="C7" s="51">
        <f t="shared" si="1"/>
        <v>0</v>
      </c>
      <c r="D7" s="51">
        <f t="shared" si="1"/>
        <v>0</v>
      </c>
      <c r="E7" s="51">
        <f t="shared" si="1"/>
        <v>0</v>
      </c>
      <c r="F7" s="24"/>
      <c r="G7" s="24"/>
      <c r="H7" s="22"/>
      <c r="I7" s="24"/>
      <c r="J7" s="24"/>
      <c r="K7" s="22"/>
      <c r="L7" s="24"/>
      <c r="M7" s="24"/>
      <c r="N7" s="22"/>
      <c r="O7" s="22"/>
      <c r="P7" s="22"/>
      <c r="Q7" s="23"/>
      <c r="R7" s="20"/>
      <c r="S7" s="20"/>
      <c r="T7" s="20"/>
      <c r="U7" s="20"/>
      <c r="V7" s="20"/>
      <c r="W7" s="20"/>
      <c r="X7" s="20"/>
      <c r="Y7" s="20"/>
      <c r="Z7" s="20"/>
    </row>
    <row r="8" spans="1:26" ht="12" customHeight="1" x14ac:dyDescent="0.25">
      <c r="A8" s="51" t="s">
        <v>363</v>
      </c>
      <c r="B8" s="51">
        <f t="shared" ref="B8:E8" si="2">COUNTIF($L$12:$L$1005,B$5)</f>
        <v>8</v>
      </c>
      <c r="C8" s="51">
        <f t="shared" si="2"/>
        <v>0</v>
      </c>
      <c r="D8" s="51">
        <f t="shared" si="2"/>
        <v>0</v>
      </c>
      <c r="E8" s="51">
        <f t="shared" si="2"/>
        <v>0</v>
      </c>
      <c r="F8" s="24"/>
      <c r="G8" s="24"/>
      <c r="H8" s="22"/>
      <c r="I8" s="24"/>
      <c r="J8" s="24"/>
      <c r="K8" s="22"/>
      <c r="L8" s="24"/>
      <c r="M8" s="24"/>
      <c r="N8" s="22"/>
      <c r="O8" s="22"/>
      <c r="P8" s="22"/>
      <c r="Q8" s="23"/>
      <c r="R8" s="20"/>
      <c r="S8" s="20"/>
      <c r="T8" s="20"/>
      <c r="U8" s="20"/>
      <c r="V8" s="20"/>
      <c r="W8" s="20"/>
      <c r="X8" s="20"/>
      <c r="Y8" s="20"/>
      <c r="Z8" s="20"/>
    </row>
    <row r="9" spans="1:26" ht="12" customHeight="1" x14ac:dyDescent="0.25">
      <c r="A9" s="22"/>
      <c r="B9" s="22"/>
      <c r="C9" s="22"/>
      <c r="D9" s="22"/>
      <c r="E9" s="22"/>
      <c r="F9" s="14"/>
      <c r="G9" s="22"/>
      <c r="H9" s="22"/>
      <c r="I9" s="14"/>
      <c r="J9" s="22"/>
      <c r="K9" s="22"/>
      <c r="L9" s="14"/>
      <c r="M9" s="22"/>
      <c r="N9" s="22"/>
      <c r="O9" s="22"/>
      <c r="P9" s="22"/>
      <c r="Q9" s="23"/>
      <c r="R9" s="20"/>
      <c r="S9" s="20"/>
      <c r="T9" s="20"/>
      <c r="U9" s="20"/>
      <c r="V9" s="20"/>
      <c r="W9" s="20"/>
      <c r="X9" s="20"/>
      <c r="Y9" s="20"/>
      <c r="Z9" s="20"/>
    </row>
    <row r="10" spans="1:26" ht="20.399999999999999" customHeight="1" x14ac:dyDescent="0.25">
      <c r="A10" s="54" t="s">
        <v>364</v>
      </c>
      <c r="B10" s="54" t="s">
        <v>365</v>
      </c>
      <c r="C10" s="54" t="s">
        <v>366</v>
      </c>
      <c r="D10" s="54" t="s">
        <v>367</v>
      </c>
      <c r="E10" s="54" t="s">
        <v>368</v>
      </c>
      <c r="F10" s="54" t="s">
        <v>361</v>
      </c>
      <c r="G10" s="54" t="s">
        <v>369</v>
      </c>
      <c r="H10" s="54" t="s">
        <v>370</v>
      </c>
      <c r="I10" s="54" t="s">
        <v>362</v>
      </c>
      <c r="J10" s="54" t="s">
        <v>369</v>
      </c>
      <c r="K10" s="54" t="s">
        <v>370</v>
      </c>
      <c r="L10" s="54" t="s">
        <v>363</v>
      </c>
      <c r="M10" s="54" t="s">
        <v>369</v>
      </c>
      <c r="N10" s="54" t="s">
        <v>370</v>
      </c>
      <c r="O10" s="54" t="s">
        <v>371</v>
      </c>
      <c r="P10" s="20"/>
      <c r="Q10" s="25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48.6" customHeight="1" x14ac:dyDescent="0.25">
      <c r="A11" s="55" t="s">
        <v>476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20"/>
      <c r="Q11" s="26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94.35" customHeight="1" x14ac:dyDescent="0.2">
      <c r="A12" s="56" t="s">
        <v>477</v>
      </c>
      <c r="B12" s="56" t="s">
        <v>70</v>
      </c>
      <c r="C12" s="56" t="s">
        <v>478</v>
      </c>
      <c r="D12" s="57" t="s">
        <v>71</v>
      </c>
      <c r="E12" s="57" t="s">
        <v>72</v>
      </c>
      <c r="F12" s="56" t="s">
        <v>24</v>
      </c>
      <c r="G12" s="63">
        <v>46235</v>
      </c>
      <c r="H12" s="56" t="s">
        <v>375</v>
      </c>
      <c r="I12" s="56" t="s">
        <v>24</v>
      </c>
      <c r="J12" s="63">
        <v>46242</v>
      </c>
      <c r="K12" s="56" t="s">
        <v>375</v>
      </c>
      <c r="L12" s="56" t="s">
        <v>24</v>
      </c>
      <c r="M12" s="63">
        <v>46249</v>
      </c>
      <c r="N12" s="56" t="s">
        <v>375</v>
      </c>
      <c r="O12" s="56"/>
      <c r="P12" s="27"/>
      <c r="Q12" s="28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94.35" customHeight="1" x14ac:dyDescent="0.25">
      <c r="A13" s="56" t="s">
        <v>479</v>
      </c>
      <c r="B13" s="56" t="s">
        <v>73</v>
      </c>
      <c r="C13" s="56" t="s">
        <v>480</v>
      </c>
      <c r="D13" s="57" t="s">
        <v>74</v>
      </c>
      <c r="E13" s="57" t="s">
        <v>72</v>
      </c>
      <c r="F13" s="56" t="s">
        <v>24</v>
      </c>
      <c r="G13" s="63">
        <v>46235</v>
      </c>
      <c r="H13" s="56" t="s">
        <v>375</v>
      </c>
      <c r="I13" s="56" t="s">
        <v>24</v>
      </c>
      <c r="J13" s="63">
        <v>46242</v>
      </c>
      <c r="K13" s="56" t="s">
        <v>375</v>
      </c>
      <c r="L13" s="56" t="s">
        <v>24</v>
      </c>
      <c r="M13" s="63">
        <v>46249</v>
      </c>
      <c r="N13" s="56" t="s">
        <v>375</v>
      </c>
      <c r="O13" s="56"/>
      <c r="P13" s="4"/>
      <c r="Q13" s="30"/>
      <c r="R13" s="4"/>
      <c r="S13" s="4"/>
      <c r="T13" s="4"/>
      <c r="U13" s="4"/>
      <c r="V13" s="4"/>
      <c r="W13" s="4"/>
      <c r="X13" s="4"/>
      <c r="Y13" s="4"/>
      <c r="Z13" s="4"/>
    </row>
    <row r="14" spans="1:26" ht="94.35" customHeight="1" x14ac:dyDescent="0.25">
      <c r="A14" s="58" t="s">
        <v>481</v>
      </c>
      <c r="B14" s="58" t="s">
        <v>87</v>
      </c>
      <c r="C14" s="58" t="s">
        <v>482</v>
      </c>
      <c r="D14" s="58" t="s">
        <v>88</v>
      </c>
      <c r="E14" s="58" t="s">
        <v>89</v>
      </c>
      <c r="F14" s="58" t="s">
        <v>24</v>
      </c>
      <c r="G14" s="64">
        <v>46235</v>
      </c>
      <c r="H14" s="58" t="s">
        <v>375</v>
      </c>
      <c r="I14" s="58" t="s">
        <v>24</v>
      </c>
      <c r="J14" s="64">
        <v>46242</v>
      </c>
      <c r="K14" s="58" t="s">
        <v>375</v>
      </c>
      <c r="L14" s="58" t="s">
        <v>24</v>
      </c>
      <c r="M14" s="64">
        <v>46249</v>
      </c>
      <c r="N14" s="58" t="s">
        <v>375</v>
      </c>
      <c r="O14" s="58"/>
      <c r="P14" s="20"/>
      <c r="Q14" s="26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38.4" customHeight="1" x14ac:dyDescent="0.25">
      <c r="A15" s="60" t="s">
        <v>483</v>
      </c>
      <c r="B15" s="60"/>
      <c r="C15" s="60"/>
      <c r="D15" s="61"/>
      <c r="E15" s="61"/>
      <c r="F15" s="60"/>
      <c r="G15" s="65"/>
      <c r="H15" s="60"/>
      <c r="I15" s="60"/>
      <c r="J15" s="65"/>
      <c r="K15" s="60"/>
      <c r="L15" s="60"/>
      <c r="M15" s="65"/>
      <c r="N15" s="60"/>
      <c r="O15" s="60"/>
      <c r="P15" s="4"/>
      <c r="Q15" s="30"/>
      <c r="R15" s="4"/>
      <c r="S15" s="4"/>
      <c r="T15" s="4"/>
      <c r="U15" s="4"/>
      <c r="V15" s="4"/>
      <c r="W15" s="4"/>
      <c r="X15" s="4"/>
      <c r="Y15" s="4"/>
      <c r="Z15" s="4"/>
    </row>
    <row r="16" spans="1:26" ht="94.35" customHeight="1" x14ac:dyDescent="0.25">
      <c r="A16" s="56" t="s">
        <v>484</v>
      </c>
      <c r="B16" s="56" t="s">
        <v>75</v>
      </c>
      <c r="C16" s="56" t="s">
        <v>485</v>
      </c>
      <c r="D16" s="57" t="s">
        <v>76</v>
      </c>
      <c r="E16" s="56" t="s">
        <v>77</v>
      </c>
      <c r="F16" s="56" t="s">
        <v>24</v>
      </c>
      <c r="G16" s="63">
        <v>46235</v>
      </c>
      <c r="H16" s="56" t="s">
        <v>375</v>
      </c>
      <c r="I16" s="56" t="s">
        <v>24</v>
      </c>
      <c r="J16" s="63">
        <v>46242</v>
      </c>
      <c r="K16" s="56" t="s">
        <v>375</v>
      </c>
      <c r="L16" s="56" t="s">
        <v>24</v>
      </c>
      <c r="M16" s="63">
        <v>46249</v>
      </c>
      <c r="N16" s="56" t="s">
        <v>375</v>
      </c>
      <c r="O16" s="56"/>
      <c r="P16" s="4"/>
      <c r="Q16" s="30"/>
      <c r="R16" s="4"/>
      <c r="S16" s="4"/>
      <c r="T16" s="4"/>
      <c r="U16" s="4"/>
      <c r="V16" s="4"/>
      <c r="W16" s="4"/>
      <c r="X16" s="4"/>
      <c r="Y16" s="4"/>
      <c r="Z16" s="4"/>
    </row>
    <row r="17" spans="1:26" ht="94.35" customHeight="1" x14ac:dyDescent="0.25">
      <c r="A17" s="56" t="s">
        <v>486</v>
      </c>
      <c r="B17" s="56" t="s">
        <v>78</v>
      </c>
      <c r="C17" s="56" t="s">
        <v>487</v>
      </c>
      <c r="D17" s="57" t="s">
        <v>79</v>
      </c>
      <c r="E17" s="56" t="s">
        <v>80</v>
      </c>
      <c r="F17" s="56" t="s">
        <v>24</v>
      </c>
      <c r="G17" s="63">
        <v>46235</v>
      </c>
      <c r="H17" s="56" t="s">
        <v>375</v>
      </c>
      <c r="I17" s="56" t="s">
        <v>24</v>
      </c>
      <c r="J17" s="63">
        <v>46242</v>
      </c>
      <c r="K17" s="56" t="s">
        <v>375</v>
      </c>
      <c r="L17" s="56" t="s">
        <v>24</v>
      </c>
      <c r="M17" s="63">
        <v>46249</v>
      </c>
      <c r="N17" s="56" t="s">
        <v>375</v>
      </c>
      <c r="O17" s="59"/>
      <c r="P17" s="4"/>
      <c r="Q17" s="15"/>
      <c r="R17" s="4"/>
      <c r="S17" s="4"/>
      <c r="T17" s="4"/>
      <c r="U17" s="4"/>
      <c r="V17" s="4"/>
      <c r="W17" s="4"/>
      <c r="X17" s="4"/>
      <c r="Y17" s="4"/>
      <c r="Z17" s="4"/>
    </row>
    <row r="18" spans="1:26" ht="37.200000000000003" customHeight="1" x14ac:dyDescent="0.25">
      <c r="A18" s="60" t="s">
        <v>488</v>
      </c>
      <c r="B18" s="60"/>
      <c r="C18" s="60"/>
      <c r="D18" s="61"/>
      <c r="E18" s="60"/>
      <c r="F18" s="60"/>
      <c r="G18" s="65"/>
      <c r="H18" s="60"/>
      <c r="I18" s="60"/>
      <c r="J18" s="65"/>
      <c r="K18" s="60"/>
      <c r="L18" s="60"/>
      <c r="M18" s="65"/>
      <c r="N18" s="60"/>
      <c r="O18" s="62"/>
      <c r="P18" s="32"/>
      <c r="Q18" s="15"/>
      <c r="R18" s="4"/>
      <c r="S18" s="4"/>
      <c r="T18" s="4"/>
      <c r="U18" s="4"/>
      <c r="V18" s="4"/>
      <c r="W18" s="4"/>
      <c r="X18" s="4"/>
      <c r="Y18" s="4"/>
      <c r="Z18" s="4"/>
    </row>
    <row r="19" spans="1:26" ht="94.35" customHeight="1" x14ac:dyDescent="0.25">
      <c r="A19" s="56" t="s">
        <v>489</v>
      </c>
      <c r="B19" s="56" t="s">
        <v>81</v>
      </c>
      <c r="C19" s="56" t="s">
        <v>490</v>
      </c>
      <c r="D19" s="57" t="s">
        <v>82</v>
      </c>
      <c r="E19" s="56" t="s">
        <v>83</v>
      </c>
      <c r="F19" s="56" t="s">
        <v>24</v>
      </c>
      <c r="G19" s="63">
        <v>46235</v>
      </c>
      <c r="H19" s="56" t="s">
        <v>375</v>
      </c>
      <c r="I19" s="56" t="s">
        <v>24</v>
      </c>
      <c r="J19" s="63">
        <v>46242</v>
      </c>
      <c r="K19" s="56" t="s">
        <v>375</v>
      </c>
      <c r="L19" s="56" t="s">
        <v>24</v>
      </c>
      <c r="M19" s="63">
        <v>46249</v>
      </c>
      <c r="N19" s="56" t="s">
        <v>375</v>
      </c>
      <c r="O19" s="59"/>
      <c r="P19" s="32"/>
      <c r="Q19" s="15"/>
      <c r="R19" s="4"/>
      <c r="S19" s="4"/>
      <c r="T19" s="4"/>
      <c r="U19" s="4"/>
      <c r="V19" s="4"/>
      <c r="W19" s="4"/>
      <c r="X19" s="4"/>
      <c r="Y19" s="4"/>
      <c r="Z19" s="4"/>
    </row>
    <row r="20" spans="1:26" ht="94.35" customHeight="1" x14ac:dyDescent="0.25">
      <c r="A20" s="56" t="s">
        <v>491</v>
      </c>
      <c r="B20" s="56" t="s">
        <v>84</v>
      </c>
      <c r="C20" s="56" t="s">
        <v>492</v>
      </c>
      <c r="D20" s="57" t="s">
        <v>85</v>
      </c>
      <c r="E20" s="56" t="s">
        <v>86</v>
      </c>
      <c r="F20" s="56" t="s">
        <v>24</v>
      </c>
      <c r="G20" s="63">
        <v>46235</v>
      </c>
      <c r="H20" s="56" t="s">
        <v>375</v>
      </c>
      <c r="I20" s="56" t="s">
        <v>24</v>
      </c>
      <c r="J20" s="63">
        <v>46242</v>
      </c>
      <c r="K20" s="56" t="s">
        <v>375</v>
      </c>
      <c r="L20" s="56" t="s">
        <v>24</v>
      </c>
      <c r="M20" s="63">
        <v>46249</v>
      </c>
      <c r="N20" s="56" t="s">
        <v>375</v>
      </c>
      <c r="O20" s="59"/>
      <c r="P20" s="32"/>
      <c r="Q20" s="15"/>
      <c r="R20" s="4"/>
      <c r="S20" s="4"/>
      <c r="T20" s="4"/>
      <c r="U20" s="4"/>
      <c r="V20" s="4"/>
      <c r="W20" s="4"/>
      <c r="X20" s="4"/>
      <c r="Y20" s="4"/>
      <c r="Z20" s="4"/>
    </row>
    <row r="21" spans="1:26" ht="94.35" customHeight="1" x14ac:dyDescent="0.25">
      <c r="A21" s="59" t="s">
        <v>493</v>
      </c>
      <c r="B21" s="59" t="s">
        <v>90</v>
      </c>
      <c r="C21" s="59" t="s">
        <v>494</v>
      </c>
      <c r="D21" s="59" t="s">
        <v>91</v>
      </c>
      <c r="E21" s="59" t="s">
        <v>92</v>
      </c>
      <c r="F21" s="59" t="s">
        <v>24</v>
      </c>
      <c r="G21" s="67">
        <v>46235</v>
      </c>
      <c r="H21" s="59" t="s">
        <v>375</v>
      </c>
      <c r="I21" s="59" t="s">
        <v>24</v>
      </c>
      <c r="J21" s="67">
        <v>46242</v>
      </c>
      <c r="K21" s="59" t="s">
        <v>375</v>
      </c>
      <c r="L21" s="59" t="s">
        <v>24</v>
      </c>
      <c r="M21" s="67">
        <v>46249</v>
      </c>
      <c r="N21" s="59" t="s">
        <v>375</v>
      </c>
      <c r="O21" s="59"/>
      <c r="P21" s="4"/>
      <c r="Q21" s="15"/>
      <c r="R21" s="4"/>
      <c r="S21" s="4"/>
      <c r="T21" s="4"/>
      <c r="U21" s="4"/>
      <c r="V21" s="4"/>
      <c r="W21" s="4"/>
      <c r="X21" s="4"/>
      <c r="Y21" s="4"/>
      <c r="Z21" s="4"/>
    </row>
    <row r="22" spans="1:26" ht="94.35" customHeight="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4"/>
      <c r="Q22" s="15"/>
      <c r="R22" s="4"/>
      <c r="S22" s="4"/>
      <c r="T22" s="4"/>
      <c r="U22" s="4"/>
      <c r="V22" s="4"/>
      <c r="W22" s="4"/>
      <c r="X22" s="4"/>
      <c r="Y22" s="4"/>
      <c r="Z22" s="4"/>
    </row>
    <row r="23" spans="1:26" ht="94.35" customHeight="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4"/>
      <c r="Q23" s="15"/>
      <c r="R23" s="4"/>
      <c r="S23" s="4"/>
      <c r="T23" s="4"/>
      <c r="U23" s="4"/>
      <c r="V23" s="4"/>
      <c r="W23" s="4"/>
      <c r="X23" s="4"/>
      <c r="Y23" s="4"/>
      <c r="Z23" s="4"/>
    </row>
    <row r="24" spans="1:26" ht="94.35" customHeight="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4"/>
      <c r="Q24" s="15"/>
      <c r="R24" s="4"/>
      <c r="S24" s="4"/>
      <c r="T24" s="4"/>
      <c r="U24" s="4"/>
      <c r="V24" s="4"/>
      <c r="W24" s="4"/>
      <c r="X24" s="4"/>
      <c r="Y24" s="4"/>
      <c r="Z24" s="4"/>
    </row>
    <row r="25" spans="1:26" ht="94.35" customHeight="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4"/>
      <c r="Q25" s="15"/>
      <c r="R25" s="4"/>
      <c r="S25" s="4"/>
      <c r="T25" s="4"/>
      <c r="U25" s="4"/>
      <c r="V25" s="4"/>
      <c r="W25" s="4"/>
      <c r="X25" s="4"/>
      <c r="Y25" s="4"/>
      <c r="Z25" s="4"/>
    </row>
    <row r="26" spans="1:26" ht="94.35" customHeight="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4"/>
      <c r="Q26" s="15"/>
      <c r="R26" s="4"/>
      <c r="S26" s="4"/>
      <c r="T26" s="4"/>
      <c r="U26" s="4"/>
      <c r="V26" s="4"/>
      <c r="W26" s="4"/>
      <c r="X26" s="4"/>
      <c r="Y26" s="4"/>
      <c r="Z26" s="4"/>
    </row>
    <row r="27" spans="1:26" ht="94.35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4"/>
      <c r="Q27" s="15"/>
      <c r="R27" s="4"/>
      <c r="S27" s="4"/>
      <c r="T27" s="4"/>
      <c r="U27" s="4"/>
      <c r="V27" s="4"/>
      <c r="W27" s="4"/>
      <c r="X27" s="4"/>
      <c r="Y27" s="4"/>
      <c r="Z27" s="4"/>
    </row>
    <row r="28" spans="1:26" ht="94.3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4"/>
      <c r="Q28" s="15"/>
      <c r="R28" s="4"/>
      <c r="S28" s="4"/>
      <c r="T28" s="4"/>
      <c r="U28" s="4"/>
      <c r="V28" s="4"/>
      <c r="W28" s="4"/>
      <c r="X28" s="4"/>
      <c r="Y28" s="4"/>
      <c r="Z28" s="4"/>
    </row>
    <row r="29" spans="1:26" ht="94.3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4"/>
      <c r="Q29" s="15"/>
      <c r="R29" s="4"/>
      <c r="S29" s="4"/>
      <c r="T29" s="4"/>
      <c r="U29" s="4"/>
      <c r="V29" s="4"/>
      <c r="W29" s="4"/>
      <c r="X29" s="4"/>
      <c r="Y29" s="4"/>
      <c r="Z29" s="4"/>
    </row>
    <row r="30" spans="1:26" ht="94.35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4"/>
      <c r="Q30" s="15"/>
      <c r="R30" s="4"/>
      <c r="S30" s="4"/>
      <c r="T30" s="4"/>
      <c r="U30" s="4"/>
      <c r="V30" s="4"/>
      <c r="W30" s="4"/>
      <c r="X30" s="4"/>
      <c r="Y30" s="4"/>
      <c r="Z30" s="4"/>
    </row>
    <row r="31" spans="1:26" ht="94.3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4"/>
      <c r="Q31" s="15"/>
      <c r="R31" s="4"/>
      <c r="S31" s="4"/>
      <c r="T31" s="4"/>
      <c r="U31" s="4"/>
      <c r="V31" s="4"/>
      <c r="W31" s="4"/>
      <c r="X31" s="4"/>
      <c r="Y31" s="4"/>
      <c r="Z31" s="4"/>
    </row>
    <row r="32" spans="1:26" ht="94.3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4"/>
      <c r="Q32" s="15"/>
      <c r="R32" s="4"/>
      <c r="S32" s="4"/>
      <c r="T32" s="4"/>
      <c r="U32" s="4"/>
      <c r="V32" s="4"/>
      <c r="W32" s="4"/>
      <c r="X32" s="4"/>
      <c r="Y32" s="4"/>
      <c r="Z32" s="4"/>
    </row>
    <row r="33" spans="1:26" ht="94.3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4"/>
      <c r="Q33" s="15"/>
      <c r="R33" s="4"/>
      <c r="S33" s="4"/>
      <c r="T33" s="4"/>
      <c r="U33" s="4"/>
      <c r="V33" s="4"/>
      <c r="W33" s="4"/>
      <c r="X33" s="4"/>
      <c r="Y33" s="4"/>
      <c r="Z33" s="4"/>
    </row>
    <row r="34" spans="1:26" ht="94.3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4"/>
      <c r="Q34" s="15"/>
      <c r="R34" s="4"/>
      <c r="S34" s="4"/>
      <c r="T34" s="4"/>
      <c r="U34" s="4"/>
      <c r="V34" s="4"/>
      <c r="W34" s="4"/>
      <c r="X34" s="4"/>
      <c r="Y34" s="4"/>
      <c r="Z34" s="4"/>
    </row>
    <row r="35" spans="1:26" ht="94.3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4"/>
      <c r="Q35" s="15"/>
      <c r="R35" s="4"/>
      <c r="S35" s="4"/>
      <c r="T35" s="4"/>
      <c r="U35" s="4"/>
      <c r="V35" s="4"/>
      <c r="W35" s="4"/>
      <c r="X35" s="4"/>
      <c r="Y35" s="4"/>
      <c r="Z35" s="4"/>
    </row>
    <row r="36" spans="1:26" ht="94.35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4"/>
      <c r="Q36" s="15"/>
      <c r="R36" s="4"/>
      <c r="S36" s="4"/>
      <c r="T36" s="4"/>
      <c r="U36" s="4"/>
      <c r="V36" s="4"/>
      <c r="W36" s="4"/>
      <c r="X36" s="4"/>
      <c r="Y36" s="4"/>
      <c r="Z36" s="4"/>
    </row>
    <row r="37" spans="1:26" ht="94.35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4"/>
      <c r="Q37" s="15"/>
      <c r="R37" s="4"/>
      <c r="S37" s="4"/>
      <c r="T37" s="4"/>
      <c r="U37" s="4"/>
      <c r="V37" s="4"/>
      <c r="W37" s="4"/>
      <c r="X37" s="4"/>
      <c r="Y37" s="4"/>
      <c r="Z37" s="4"/>
    </row>
    <row r="38" spans="1:26" ht="94.35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4"/>
      <c r="Q38" s="15"/>
      <c r="R38" s="4"/>
      <c r="S38" s="4"/>
      <c r="T38" s="4"/>
      <c r="U38" s="4"/>
      <c r="V38" s="4"/>
      <c r="W38" s="4"/>
      <c r="X38" s="4"/>
      <c r="Y38" s="4"/>
      <c r="Z38" s="4"/>
    </row>
    <row r="39" spans="1:26" ht="94.3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4"/>
      <c r="Q39" s="15"/>
      <c r="R39" s="4"/>
      <c r="S39" s="4"/>
      <c r="T39" s="4"/>
      <c r="U39" s="4"/>
      <c r="V39" s="4"/>
      <c r="W39" s="4"/>
      <c r="X39" s="4"/>
      <c r="Y39" s="4"/>
      <c r="Z39" s="4"/>
    </row>
    <row r="40" spans="1:26" ht="94.3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4"/>
      <c r="Q40" s="15"/>
      <c r="R40" s="4"/>
      <c r="S40" s="4"/>
      <c r="T40" s="4"/>
      <c r="U40" s="4"/>
      <c r="V40" s="4"/>
      <c r="W40" s="4"/>
      <c r="X40" s="4"/>
      <c r="Y40" s="4"/>
      <c r="Z40" s="4"/>
    </row>
    <row r="41" spans="1:26" ht="94.3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4"/>
      <c r="Q41" s="15"/>
      <c r="R41" s="4"/>
      <c r="S41" s="4"/>
      <c r="T41" s="4"/>
      <c r="U41" s="4"/>
      <c r="V41" s="4"/>
      <c r="W41" s="4"/>
      <c r="X41" s="4"/>
      <c r="Y41" s="4"/>
      <c r="Z41" s="4"/>
    </row>
    <row r="42" spans="1:26" ht="94.3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4"/>
      <c r="Q42" s="15"/>
      <c r="R42" s="4"/>
      <c r="S42" s="4"/>
      <c r="T42" s="4"/>
      <c r="U42" s="4"/>
      <c r="V42" s="4"/>
      <c r="W42" s="4"/>
      <c r="X42" s="4"/>
      <c r="Y42" s="4"/>
      <c r="Z42" s="4"/>
    </row>
    <row r="43" spans="1:26" ht="94.35" customHeight="1" x14ac:dyDescent="0.2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4"/>
      <c r="Q43" s="15"/>
      <c r="R43" s="4"/>
      <c r="S43" s="4"/>
      <c r="T43" s="4"/>
      <c r="U43" s="4"/>
      <c r="V43" s="4"/>
      <c r="W43" s="4"/>
      <c r="X43" s="4"/>
      <c r="Y43" s="4"/>
      <c r="Z43" s="4"/>
    </row>
    <row r="44" spans="1:26" ht="94.35" customHeight="1" x14ac:dyDescent="0.2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4"/>
      <c r="Q44" s="15"/>
      <c r="R44" s="4"/>
      <c r="S44" s="4"/>
      <c r="T44" s="4"/>
      <c r="U44" s="4"/>
      <c r="V44" s="4"/>
      <c r="W44" s="4"/>
      <c r="X44" s="4"/>
      <c r="Y44" s="4"/>
      <c r="Z44" s="4"/>
    </row>
    <row r="45" spans="1:26" ht="94.35" customHeight="1" x14ac:dyDescent="0.2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4"/>
      <c r="Q45" s="15"/>
      <c r="R45" s="4"/>
      <c r="S45" s="4"/>
      <c r="T45" s="4"/>
      <c r="U45" s="4"/>
      <c r="V45" s="4"/>
      <c r="W45" s="4"/>
      <c r="X45" s="4"/>
      <c r="Y45" s="4"/>
      <c r="Z45" s="4"/>
    </row>
    <row r="46" spans="1:26" ht="94.35" customHeight="1" x14ac:dyDescent="0.2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4"/>
      <c r="Q46" s="15"/>
      <c r="R46" s="4"/>
      <c r="S46" s="4"/>
      <c r="T46" s="4"/>
      <c r="U46" s="4"/>
      <c r="V46" s="4"/>
      <c r="W46" s="4"/>
      <c r="X46" s="4"/>
      <c r="Y46" s="4"/>
      <c r="Z46" s="4"/>
    </row>
    <row r="47" spans="1:26" ht="94.35" customHeight="1" x14ac:dyDescent="0.2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4"/>
      <c r="Q47" s="15"/>
      <c r="R47" s="4"/>
      <c r="S47" s="4"/>
      <c r="T47" s="4"/>
      <c r="U47" s="4"/>
      <c r="V47" s="4"/>
      <c r="W47" s="4"/>
      <c r="X47" s="4"/>
      <c r="Y47" s="4"/>
      <c r="Z47" s="4"/>
    </row>
    <row r="48" spans="1:26" ht="94.35" customHeight="1" x14ac:dyDescent="0.2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4"/>
      <c r="Q48" s="15"/>
      <c r="R48" s="4"/>
      <c r="S48" s="4"/>
      <c r="T48" s="4"/>
      <c r="U48" s="4"/>
      <c r="V48" s="4"/>
      <c r="W48" s="4"/>
      <c r="X48" s="4"/>
      <c r="Y48" s="4"/>
      <c r="Z48" s="4"/>
    </row>
    <row r="49" spans="1:26" ht="94.35" customHeight="1" x14ac:dyDescent="0.2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4"/>
      <c r="Q49" s="15"/>
      <c r="R49" s="4"/>
      <c r="S49" s="4"/>
      <c r="T49" s="4"/>
      <c r="U49" s="4"/>
      <c r="V49" s="4"/>
      <c r="W49" s="4"/>
      <c r="X49" s="4"/>
      <c r="Y49" s="4"/>
      <c r="Z49" s="4"/>
    </row>
    <row r="50" spans="1:26" ht="94.35" customHeight="1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4"/>
      <c r="Q50" s="15"/>
      <c r="R50" s="4"/>
      <c r="S50" s="4"/>
      <c r="T50" s="4"/>
      <c r="U50" s="4"/>
      <c r="V50" s="4"/>
      <c r="W50" s="4"/>
      <c r="X50" s="4"/>
      <c r="Y50" s="4"/>
      <c r="Z50" s="4"/>
    </row>
    <row r="51" spans="1:26" ht="94.35" customHeight="1" x14ac:dyDescent="0.2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4"/>
      <c r="Q51" s="15"/>
      <c r="R51" s="4"/>
      <c r="S51" s="4"/>
      <c r="T51" s="4"/>
      <c r="U51" s="4"/>
      <c r="V51" s="4"/>
      <c r="W51" s="4"/>
      <c r="X51" s="4"/>
      <c r="Y51" s="4"/>
      <c r="Z51" s="4"/>
    </row>
    <row r="52" spans="1:26" ht="94.35" customHeight="1" x14ac:dyDescent="0.2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4"/>
      <c r="Q52" s="15"/>
      <c r="R52" s="4"/>
      <c r="S52" s="4"/>
      <c r="T52" s="4"/>
      <c r="U52" s="4"/>
      <c r="V52" s="4"/>
      <c r="W52" s="4"/>
      <c r="X52" s="4"/>
      <c r="Y52" s="4"/>
      <c r="Z52" s="4"/>
    </row>
    <row r="53" spans="1:26" ht="94.35" customHeight="1" x14ac:dyDescent="0.2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4"/>
      <c r="Q53" s="15"/>
      <c r="R53" s="4"/>
      <c r="S53" s="4"/>
      <c r="T53" s="4"/>
      <c r="U53" s="4"/>
      <c r="V53" s="4"/>
      <c r="W53" s="4"/>
      <c r="X53" s="4"/>
      <c r="Y53" s="4"/>
      <c r="Z53" s="4"/>
    </row>
    <row r="54" spans="1:26" ht="94.35" customHeight="1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4"/>
      <c r="Q54" s="15"/>
      <c r="R54" s="4"/>
      <c r="S54" s="4"/>
      <c r="T54" s="4"/>
      <c r="U54" s="4"/>
      <c r="V54" s="4"/>
      <c r="W54" s="4"/>
      <c r="X54" s="4"/>
      <c r="Y54" s="4"/>
      <c r="Z54" s="4"/>
    </row>
    <row r="55" spans="1:26" ht="94.35" customHeight="1" x14ac:dyDescent="0.2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4"/>
      <c r="Q55" s="15"/>
      <c r="R55" s="4"/>
      <c r="S55" s="4"/>
      <c r="T55" s="4"/>
      <c r="U55" s="4"/>
      <c r="V55" s="4"/>
      <c r="W55" s="4"/>
      <c r="X55" s="4"/>
      <c r="Y55" s="4"/>
      <c r="Z55" s="4"/>
    </row>
    <row r="56" spans="1:26" ht="94.35" customHeight="1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4"/>
      <c r="Q56" s="15"/>
      <c r="R56" s="4"/>
      <c r="S56" s="4"/>
      <c r="T56" s="4"/>
      <c r="U56" s="4"/>
      <c r="V56" s="4"/>
      <c r="W56" s="4"/>
      <c r="X56" s="4"/>
      <c r="Y56" s="4"/>
      <c r="Z56" s="4"/>
    </row>
    <row r="57" spans="1:26" ht="94.35" customHeight="1" x14ac:dyDescent="0.2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4"/>
      <c r="Q57" s="15"/>
      <c r="R57" s="4"/>
      <c r="S57" s="4"/>
      <c r="T57" s="4"/>
      <c r="U57" s="4"/>
      <c r="V57" s="4"/>
      <c r="W57" s="4"/>
      <c r="X57" s="4"/>
      <c r="Y57" s="4"/>
      <c r="Z57" s="4"/>
    </row>
    <row r="58" spans="1:26" ht="94.35" customHeight="1" x14ac:dyDescent="0.2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4"/>
      <c r="Q58" s="15"/>
      <c r="R58" s="4"/>
      <c r="S58" s="4"/>
      <c r="T58" s="4"/>
      <c r="U58" s="4"/>
      <c r="V58" s="4"/>
      <c r="W58" s="4"/>
      <c r="X58" s="4"/>
      <c r="Y58" s="4"/>
      <c r="Z58" s="4"/>
    </row>
    <row r="59" spans="1:26" ht="94.35" customHeight="1" x14ac:dyDescent="0.2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4"/>
      <c r="Q59" s="15"/>
      <c r="R59" s="4"/>
      <c r="S59" s="4"/>
      <c r="T59" s="4"/>
      <c r="U59" s="4"/>
      <c r="V59" s="4"/>
      <c r="W59" s="4"/>
      <c r="X59" s="4"/>
      <c r="Y59" s="4"/>
      <c r="Z59" s="4"/>
    </row>
    <row r="60" spans="1:26" ht="94.35" customHeight="1" x14ac:dyDescent="0.2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4"/>
      <c r="Q60" s="15"/>
      <c r="R60" s="4"/>
      <c r="S60" s="4"/>
      <c r="T60" s="4"/>
      <c r="U60" s="4"/>
      <c r="V60" s="4"/>
      <c r="W60" s="4"/>
      <c r="X60" s="4"/>
      <c r="Y60" s="4"/>
      <c r="Z60" s="4"/>
    </row>
    <row r="61" spans="1:26" ht="94.35" customHeight="1" x14ac:dyDescent="0.2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4"/>
      <c r="Q61" s="15"/>
      <c r="R61" s="4"/>
      <c r="S61" s="4"/>
      <c r="T61" s="4"/>
      <c r="U61" s="4"/>
      <c r="V61" s="4"/>
      <c r="W61" s="4"/>
      <c r="X61" s="4"/>
      <c r="Y61" s="4"/>
      <c r="Z61" s="4"/>
    </row>
    <row r="62" spans="1:26" ht="94.35" customHeight="1" x14ac:dyDescent="0.2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4"/>
      <c r="Q62" s="15"/>
      <c r="R62" s="4"/>
      <c r="S62" s="4"/>
      <c r="T62" s="4"/>
      <c r="U62" s="4"/>
      <c r="V62" s="4"/>
      <c r="W62" s="4"/>
      <c r="X62" s="4"/>
      <c r="Y62" s="4"/>
      <c r="Z62" s="4"/>
    </row>
    <row r="63" spans="1:26" ht="94.35" customHeight="1" x14ac:dyDescent="0.2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4"/>
      <c r="Q63" s="15"/>
      <c r="R63" s="4"/>
      <c r="S63" s="4"/>
      <c r="T63" s="4"/>
      <c r="U63" s="4"/>
      <c r="V63" s="4"/>
      <c r="W63" s="4"/>
      <c r="X63" s="4"/>
      <c r="Y63" s="4"/>
      <c r="Z63" s="4"/>
    </row>
    <row r="64" spans="1:26" ht="94.35" customHeight="1" x14ac:dyDescent="0.2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4"/>
      <c r="Q64" s="15"/>
      <c r="R64" s="4"/>
      <c r="S64" s="4"/>
      <c r="T64" s="4"/>
      <c r="U64" s="4"/>
      <c r="V64" s="4"/>
      <c r="W64" s="4"/>
      <c r="X64" s="4"/>
      <c r="Y64" s="4"/>
      <c r="Z64" s="4"/>
    </row>
    <row r="65" spans="1:26" ht="94.35" customHeight="1" x14ac:dyDescent="0.2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4"/>
      <c r="Q65" s="15"/>
      <c r="R65" s="4"/>
      <c r="S65" s="4"/>
      <c r="T65" s="4"/>
      <c r="U65" s="4"/>
      <c r="V65" s="4"/>
      <c r="W65" s="4"/>
      <c r="X65" s="4"/>
      <c r="Y65" s="4"/>
      <c r="Z65" s="4"/>
    </row>
    <row r="66" spans="1:26" ht="94.35" customHeight="1" x14ac:dyDescent="0.2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4"/>
      <c r="Q66" s="15"/>
      <c r="R66" s="4"/>
      <c r="S66" s="4"/>
      <c r="T66" s="4"/>
      <c r="U66" s="4"/>
      <c r="V66" s="4"/>
      <c r="W66" s="4"/>
      <c r="X66" s="4"/>
      <c r="Y66" s="4"/>
      <c r="Z66" s="4"/>
    </row>
    <row r="67" spans="1:26" ht="94.35" customHeight="1" x14ac:dyDescent="0.2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4"/>
      <c r="Q67" s="15"/>
      <c r="R67" s="4"/>
      <c r="S67" s="4"/>
      <c r="T67" s="4"/>
      <c r="U67" s="4"/>
      <c r="V67" s="4"/>
      <c r="W67" s="4"/>
      <c r="X67" s="4"/>
      <c r="Y67" s="4"/>
      <c r="Z67" s="4"/>
    </row>
    <row r="68" spans="1:26" ht="94.35" customHeight="1" x14ac:dyDescent="0.2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4"/>
      <c r="Q68" s="15"/>
      <c r="R68" s="4"/>
      <c r="S68" s="4"/>
      <c r="T68" s="4"/>
      <c r="U68" s="4"/>
      <c r="V68" s="4"/>
      <c r="W68" s="4"/>
      <c r="X68" s="4"/>
      <c r="Y68" s="4"/>
      <c r="Z68" s="4"/>
    </row>
    <row r="69" spans="1:26" ht="94.35" customHeight="1" x14ac:dyDescent="0.2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4"/>
      <c r="Q69" s="15"/>
      <c r="R69" s="4"/>
      <c r="S69" s="4"/>
      <c r="T69" s="4"/>
      <c r="U69" s="4"/>
      <c r="V69" s="4"/>
      <c r="W69" s="4"/>
      <c r="X69" s="4"/>
      <c r="Y69" s="4"/>
      <c r="Z69" s="4"/>
    </row>
    <row r="70" spans="1:26" ht="94.35" customHeight="1" x14ac:dyDescent="0.2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4"/>
      <c r="Q70" s="15"/>
      <c r="R70" s="4"/>
      <c r="S70" s="4"/>
      <c r="T70" s="4"/>
      <c r="U70" s="4"/>
      <c r="V70" s="4"/>
      <c r="W70" s="4"/>
      <c r="X70" s="4"/>
      <c r="Y70" s="4"/>
      <c r="Z70" s="4"/>
    </row>
    <row r="71" spans="1:26" ht="94.35" customHeight="1" x14ac:dyDescent="0.2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4"/>
      <c r="Q71" s="15"/>
      <c r="R71" s="4"/>
      <c r="S71" s="4"/>
      <c r="T71" s="4"/>
      <c r="U71" s="4"/>
      <c r="V71" s="4"/>
      <c r="W71" s="4"/>
      <c r="X71" s="4"/>
      <c r="Y71" s="4"/>
      <c r="Z71" s="4"/>
    </row>
    <row r="72" spans="1:26" ht="94.35" customHeight="1" x14ac:dyDescent="0.2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4"/>
      <c r="Q72" s="15"/>
      <c r="R72" s="4"/>
      <c r="S72" s="4"/>
      <c r="T72" s="4"/>
      <c r="U72" s="4"/>
      <c r="V72" s="4"/>
      <c r="W72" s="4"/>
      <c r="X72" s="4"/>
      <c r="Y72" s="4"/>
      <c r="Z72" s="4"/>
    </row>
    <row r="73" spans="1:26" ht="94.35" customHeight="1" x14ac:dyDescent="0.2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4"/>
      <c r="Q73" s="15"/>
      <c r="R73" s="4"/>
      <c r="S73" s="4"/>
      <c r="T73" s="4"/>
      <c r="U73" s="4"/>
      <c r="V73" s="4"/>
      <c r="W73" s="4"/>
      <c r="X73" s="4"/>
      <c r="Y73" s="4"/>
      <c r="Z73" s="4"/>
    </row>
    <row r="74" spans="1:26" ht="94.35" customHeight="1" x14ac:dyDescent="0.2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4"/>
      <c r="Q74" s="15"/>
      <c r="R74" s="4"/>
      <c r="S74" s="4"/>
      <c r="T74" s="4"/>
      <c r="U74" s="4"/>
      <c r="V74" s="4"/>
      <c r="W74" s="4"/>
      <c r="X74" s="4"/>
      <c r="Y74" s="4"/>
      <c r="Z74" s="4"/>
    </row>
    <row r="75" spans="1:26" ht="94.35" customHeight="1" x14ac:dyDescent="0.2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4"/>
      <c r="Q75" s="15"/>
      <c r="R75" s="4"/>
      <c r="S75" s="4"/>
      <c r="T75" s="4"/>
      <c r="U75" s="4"/>
      <c r="V75" s="4"/>
      <c r="W75" s="4"/>
      <c r="X75" s="4"/>
      <c r="Y75" s="4"/>
      <c r="Z75" s="4"/>
    </row>
    <row r="76" spans="1:26" ht="94.35" customHeight="1" x14ac:dyDescent="0.2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4"/>
      <c r="Q76" s="15"/>
      <c r="R76" s="4"/>
      <c r="S76" s="4"/>
      <c r="T76" s="4"/>
      <c r="U76" s="4"/>
      <c r="V76" s="4"/>
      <c r="W76" s="4"/>
      <c r="X76" s="4"/>
      <c r="Y76" s="4"/>
      <c r="Z76" s="4"/>
    </row>
    <row r="77" spans="1:26" ht="94.35" customHeight="1" x14ac:dyDescent="0.2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4"/>
      <c r="Q77" s="15"/>
      <c r="R77" s="4"/>
      <c r="S77" s="4"/>
      <c r="T77" s="4"/>
      <c r="U77" s="4"/>
      <c r="V77" s="4"/>
      <c r="W77" s="4"/>
      <c r="X77" s="4"/>
      <c r="Y77" s="4"/>
      <c r="Z77" s="4"/>
    </row>
    <row r="78" spans="1:26" ht="94.35" customHeight="1" x14ac:dyDescent="0.2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4"/>
      <c r="Q78" s="15"/>
      <c r="R78" s="4"/>
      <c r="S78" s="4"/>
      <c r="T78" s="4"/>
      <c r="U78" s="4"/>
      <c r="V78" s="4"/>
      <c r="W78" s="4"/>
      <c r="X78" s="4"/>
      <c r="Y78" s="4"/>
      <c r="Z78" s="4"/>
    </row>
    <row r="79" spans="1:26" ht="94.35" customHeight="1" x14ac:dyDescent="0.2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4"/>
      <c r="Q79" s="15"/>
      <c r="R79" s="4"/>
      <c r="S79" s="4"/>
      <c r="T79" s="4"/>
      <c r="U79" s="4"/>
      <c r="V79" s="4"/>
      <c r="W79" s="4"/>
      <c r="X79" s="4"/>
      <c r="Y79" s="4"/>
      <c r="Z79" s="4"/>
    </row>
    <row r="80" spans="1:26" ht="94.35" customHeight="1" x14ac:dyDescent="0.2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4"/>
      <c r="Q80" s="15"/>
      <c r="R80" s="4"/>
      <c r="S80" s="4"/>
      <c r="T80" s="4"/>
      <c r="U80" s="4"/>
      <c r="V80" s="4"/>
      <c r="W80" s="4"/>
      <c r="X80" s="4"/>
      <c r="Y80" s="4"/>
      <c r="Z80" s="4"/>
    </row>
    <row r="81" spans="1:26" ht="94.3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15"/>
      <c r="R81" s="4"/>
      <c r="S81" s="4"/>
      <c r="T81" s="4"/>
      <c r="U81" s="4"/>
      <c r="V81" s="4"/>
      <c r="W81" s="4"/>
      <c r="X81" s="4"/>
      <c r="Y81" s="4"/>
      <c r="Z81" s="4"/>
    </row>
    <row r="82" spans="1:26" ht="94.3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15"/>
      <c r="R82" s="4"/>
      <c r="S82" s="4"/>
      <c r="T82" s="4"/>
      <c r="U82" s="4"/>
      <c r="V82" s="4"/>
      <c r="W82" s="4"/>
      <c r="X82" s="4"/>
      <c r="Y82" s="4"/>
      <c r="Z82" s="4"/>
    </row>
    <row r="83" spans="1:26" ht="94.3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15"/>
      <c r="R83" s="4"/>
      <c r="S83" s="4"/>
      <c r="T83" s="4"/>
      <c r="U83" s="4"/>
      <c r="V83" s="4"/>
      <c r="W83" s="4"/>
      <c r="X83" s="4"/>
      <c r="Y83" s="4"/>
      <c r="Z83" s="4"/>
    </row>
    <row r="84" spans="1:26" ht="94.3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15"/>
      <c r="R84" s="4"/>
      <c r="S84" s="4"/>
      <c r="T84" s="4"/>
      <c r="U84" s="4"/>
      <c r="V84" s="4"/>
      <c r="W84" s="4"/>
      <c r="X84" s="4"/>
      <c r="Y84" s="4"/>
      <c r="Z84" s="4"/>
    </row>
    <row r="85" spans="1:26" ht="94.3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15"/>
      <c r="R85" s="4"/>
      <c r="S85" s="4"/>
      <c r="T85" s="4"/>
      <c r="U85" s="4"/>
      <c r="V85" s="4"/>
      <c r="W85" s="4"/>
      <c r="X85" s="4"/>
      <c r="Y85" s="4"/>
      <c r="Z85" s="4"/>
    </row>
    <row r="86" spans="1:26" ht="94.3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15"/>
      <c r="R86" s="4"/>
      <c r="S86" s="4"/>
      <c r="T86" s="4"/>
      <c r="U86" s="4"/>
      <c r="V86" s="4"/>
      <c r="W86" s="4"/>
      <c r="X86" s="4"/>
      <c r="Y86" s="4"/>
      <c r="Z86" s="4"/>
    </row>
    <row r="87" spans="1:26" ht="94.3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15"/>
      <c r="R87" s="4"/>
      <c r="S87" s="4"/>
      <c r="T87" s="4"/>
      <c r="U87" s="4"/>
      <c r="V87" s="4"/>
      <c r="W87" s="4"/>
      <c r="X87" s="4"/>
      <c r="Y87" s="4"/>
      <c r="Z87" s="4"/>
    </row>
    <row r="88" spans="1:26" ht="94.3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15"/>
      <c r="R88" s="4"/>
      <c r="S88" s="4"/>
      <c r="T88" s="4"/>
      <c r="U88" s="4"/>
      <c r="V88" s="4"/>
      <c r="W88" s="4"/>
      <c r="X88" s="4"/>
      <c r="Y88" s="4"/>
      <c r="Z88" s="4"/>
    </row>
    <row r="89" spans="1:26" ht="94.3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15"/>
      <c r="R89" s="4"/>
      <c r="S89" s="4"/>
      <c r="T89" s="4"/>
      <c r="U89" s="4"/>
      <c r="V89" s="4"/>
      <c r="W89" s="4"/>
      <c r="X89" s="4"/>
      <c r="Y89" s="4"/>
      <c r="Z89" s="4"/>
    </row>
    <row r="90" spans="1:26" ht="94.3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15"/>
      <c r="R90" s="4"/>
      <c r="S90" s="4"/>
      <c r="T90" s="4"/>
      <c r="U90" s="4"/>
      <c r="V90" s="4"/>
      <c r="W90" s="4"/>
      <c r="X90" s="4"/>
      <c r="Y90" s="4"/>
      <c r="Z90" s="4"/>
    </row>
    <row r="91" spans="1:26" ht="94.3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15"/>
      <c r="R91" s="4"/>
      <c r="S91" s="4"/>
      <c r="T91" s="4"/>
      <c r="U91" s="4"/>
      <c r="V91" s="4"/>
      <c r="W91" s="4"/>
      <c r="X91" s="4"/>
      <c r="Y91" s="4"/>
      <c r="Z91" s="4"/>
    </row>
    <row r="92" spans="1:26" ht="94.3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15"/>
      <c r="R92" s="4"/>
      <c r="S92" s="4"/>
      <c r="T92" s="4"/>
      <c r="U92" s="4"/>
      <c r="V92" s="4"/>
      <c r="W92" s="4"/>
      <c r="X92" s="4"/>
      <c r="Y92" s="4"/>
      <c r="Z92" s="4"/>
    </row>
    <row r="93" spans="1:26" ht="94.3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15"/>
      <c r="R93" s="4"/>
      <c r="S93" s="4"/>
      <c r="T93" s="4"/>
      <c r="U93" s="4"/>
      <c r="V93" s="4"/>
      <c r="W93" s="4"/>
      <c r="X93" s="4"/>
      <c r="Y93" s="4"/>
      <c r="Z93" s="4"/>
    </row>
    <row r="94" spans="1:26" ht="94.3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15"/>
      <c r="R94" s="4"/>
      <c r="S94" s="4"/>
      <c r="T94" s="4"/>
      <c r="U94" s="4"/>
      <c r="V94" s="4"/>
      <c r="W94" s="4"/>
      <c r="X94" s="4"/>
      <c r="Y94" s="4"/>
      <c r="Z94" s="4"/>
    </row>
    <row r="95" spans="1:26" ht="94.3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15"/>
      <c r="R95" s="4"/>
      <c r="S95" s="4"/>
      <c r="T95" s="4"/>
      <c r="U95" s="4"/>
      <c r="V95" s="4"/>
      <c r="W95" s="4"/>
      <c r="X95" s="4"/>
      <c r="Y95" s="4"/>
      <c r="Z95" s="4"/>
    </row>
    <row r="96" spans="1:26" ht="94.3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15"/>
      <c r="R96" s="4"/>
      <c r="S96" s="4"/>
      <c r="T96" s="4"/>
      <c r="U96" s="4"/>
      <c r="V96" s="4"/>
      <c r="W96" s="4"/>
      <c r="X96" s="4"/>
      <c r="Y96" s="4"/>
      <c r="Z96" s="4"/>
    </row>
    <row r="97" spans="1:26" ht="94.3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15"/>
      <c r="R97" s="4"/>
      <c r="S97" s="4"/>
      <c r="T97" s="4"/>
      <c r="U97" s="4"/>
      <c r="V97" s="4"/>
      <c r="W97" s="4"/>
      <c r="X97" s="4"/>
      <c r="Y97" s="4"/>
      <c r="Z97" s="4"/>
    </row>
    <row r="98" spans="1:26" ht="94.3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15"/>
      <c r="R98" s="4"/>
      <c r="S98" s="4"/>
      <c r="T98" s="4"/>
      <c r="U98" s="4"/>
      <c r="V98" s="4"/>
      <c r="W98" s="4"/>
      <c r="X98" s="4"/>
      <c r="Y98" s="4"/>
      <c r="Z98" s="4"/>
    </row>
    <row r="99" spans="1:26" ht="94.3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15"/>
      <c r="R99" s="4"/>
      <c r="S99" s="4"/>
      <c r="T99" s="4"/>
      <c r="U99" s="4"/>
      <c r="V99" s="4"/>
      <c r="W99" s="4"/>
      <c r="X99" s="4"/>
      <c r="Y99" s="4"/>
      <c r="Z99" s="4"/>
    </row>
    <row r="100" spans="1:26" ht="94.3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15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0.199999999999999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15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0.199999999999999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15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0.199999999999999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15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0.199999999999999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15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0.199999999999999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15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0.199999999999999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15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0.199999999999999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15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0.199999999999999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15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0.199999999999999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15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0.199999999999999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15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0.199999999999999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15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0.199999999999999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15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0.199999999999999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15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0.199999999999999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15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0.199999999999999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15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0.199999999999999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15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0.199999999999999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15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0.199999999999999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15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0.199999999999999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15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0.199999999999999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15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0.199999999999999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15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0.199999999999999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15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0.199999999999999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15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0.199999999999999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15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0.199999999999999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15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0.199999999999999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15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0.199999999999999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15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0.199999999999999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15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0.199999999999999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15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0.199999999999999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15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0.199999999999999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15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0.199999999999999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15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0.199999999999999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15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0.199999999999999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15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0.199999999999999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15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0.199999999999999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15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0.199999999999999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15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0.199999999999999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15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0.199999999999999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15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0.199999999999999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15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0.199999999999999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15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0.199999999999999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15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0.199999999999999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15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0.199999999999999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15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0.199999999999999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15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0.199999999999999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15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0.199999999999999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15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0.199999999999999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15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0.199999999999999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15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0.199999999999999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15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0.199999999999999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15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0.199999999999999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15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0.199999999999999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15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0.199999999999999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15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0.199999999999999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15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0.199999999999999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15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0.199999999999999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15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0.199999999999999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15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0.199999999999999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15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0.199999999999999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15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0.199999999999999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15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0.199999999999999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15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0.199999999999999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15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0.199999999999999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15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0.199999999999999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15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0.199999999999999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15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0.199999999999999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15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0.199999999999999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15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0.199999999999999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15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0.199999999999999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15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0.199999999999999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15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0.199999999999999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15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0.199999999999999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15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0.199999999999999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15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0.199999999999999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15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0.199999999999999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15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0.199999999999999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15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0.199999999999999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15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0.199999999999999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15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0.199999999999999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15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0.199999999999999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15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0.199999999999999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15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0.199999999999999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15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0.199999999999999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15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0.199999999999999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15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0.199999999999999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15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0.199999999999999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15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0.199999999999999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15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0.199999999999999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15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0.199999999999999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15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0.199999999999999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15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0.199999999999999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15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0.199999999999999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15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0.199999999999999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15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0.199999999999999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15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0.199999999999999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15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0.199999999999999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15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0.199999999999999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15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0.199999999999999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15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0.199999999999999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15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0.199999999999999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15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0.199999999999999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15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0.199999999999999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15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0.199999999999999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15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0.199999999999999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15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0.199999999999999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15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0.199999999999999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15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0.199999999999999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15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0.199999999999999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15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0.199999999999999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15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0.199999999999999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15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0.199999999999999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15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0.199999999999999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15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0.199999999999999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15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0.199999999999999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15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0.199999999999999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15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0.199999999999999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15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0.199999999999999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15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0.199999999999999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15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0.199999999999999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15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0.199999999999999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15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0.199999999999999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15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0.199999999999999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15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0.199999999999999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15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0.199999999999999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15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0.199999999999999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15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0.199999999999999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15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0.199999999999999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15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0.199999999999999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15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0.199999999999999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15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0.199999999999999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15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0.199999999999999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15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0.199999999999999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15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0.199999999999999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15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0.199999999999999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15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0.199999999999999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15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0.199999999999999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15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0.199999999999999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15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0.199999999999999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15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0.199999999999999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15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0.199999999999999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15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0.199999999999999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15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0.199999999999999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15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0.199999999999999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15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0.199999999999999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15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0.199999999999999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15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0.199999999999999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15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0.199999999999999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15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0.199999999999999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15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0.199999999999999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15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0.199999999999999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15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0.199999999999999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15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0.199999999999999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15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0.199999999999999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15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0.199999999999999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15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0.199999999999999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15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0.199999999999999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15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0.199999999999999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15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0.199999999999999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15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0.199999999999999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15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0.199999999999999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15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0.199999999999999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15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0.199999999999999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15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0.199999999999999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15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0.199999999999999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15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0.199999999999999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15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0.199999999999999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15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0.199999999999999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15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0.199999999999999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15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0.199999999999999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15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0.199999999999999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15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0.199999999999999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15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0.199999999999999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15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0.199999999999999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15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0.199999999999999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15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0.199999999999999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15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0.199999999999999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15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0.199999999999999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15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0.199999999999999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15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0.199999999999999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15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0.199999999999999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15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0.199999999999999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15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0.199999999999999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15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0.199999999999999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15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0.199999999999999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15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0.199999999999999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15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0.199999999999999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15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0.199999999999999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15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0.199999999999999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15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0.199999999999999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15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0.199999999999999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15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0.199999999999999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15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0.199999999999999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15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0.199999999999999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15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0.199999999999999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15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0.199999999999999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15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0.199999999999999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15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0.199999999999999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15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0.199999999999999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15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0.199999999999999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15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0.199999999999999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15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0.199999999999999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15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0.199999999999999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15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0.199999999999999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15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0.199999999999999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15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0.199999999999999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15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0.199999999999999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15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0.199999999999999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15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0.199999999999999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15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0.199999999999999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15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0.199999999999999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15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0.199999999999999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15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0.199999999999999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15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0.199999999999999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15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0.199999999999999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15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0.199999999999999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15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0.199999999999999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15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0.199999999999999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15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0.199999999999999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15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0.199999999999999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15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0.199999999999999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15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0.199999999999999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15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0.199999999999999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15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0.199999999999999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15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0.199999999999999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15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0.199999999999999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15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0.199999999999999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15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0.199999999999999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15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0.199999999999999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15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0.199999999999999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15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0.199999999999999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15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0.199999999999999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15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0.199999999999999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15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0.199999999999999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15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0.199999999999999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15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0.199999999999999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15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0.199999999999999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15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0.199999999999999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15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0.199999999999999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15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0.199999999999999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15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0.199999999999999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15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0.199999999999999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15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0.199999999999999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15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0.199999999999999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15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0.199999999999999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15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0.199999999999999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15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0.199999999999999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15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0.199999999999999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15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0.199999999999999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15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0.199999999999999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15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0.199999999999999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15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0.199999999999999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15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0.199999999999999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15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0.199999999999999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15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0.199999999999999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15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0.199999999999999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15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0.199999999999999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15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0.199999999999999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15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0.199999999999999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15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0.199999999999999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15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0.199999999999999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15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0.199999999999999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15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0.199999999999999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15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0.199999999999999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15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0.199999999999999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15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0.199999999999999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15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0.199999999999999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15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0.199999999999999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15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0.199999999999999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15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0.199999999999999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15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0.199999999999999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15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0.199999999999999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15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0.199999999999999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15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0.199999999999999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15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0.199999999999999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15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0.199999999999999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15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0.199999999999999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15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0.199999999999999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15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0.199999999999999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15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0.199999999999999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15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0.199999999999999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15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0.199999999999999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15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0.199999999999999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15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0.199999999999999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15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0.199999999999999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15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0.199999999999999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15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0.199999999999999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15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0.199999999999999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15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0.199999999999999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15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0.199999999999999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15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0.199999999999999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15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0.199999999999999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15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0.199999999999999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15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0.199999999999999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15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0.199999999999999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15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0.199999999999999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15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0.199999999999999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15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0.199999999999999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15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0.199999999999999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15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0.199999999999999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15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0.199999999999999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15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0.199999999999999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15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0.199999999999999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15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0.199999999999999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15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0.199999999999999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15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0.199999999999999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15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0.199999999999999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15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0.199999999999999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15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0.199999999999999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15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0.199999999999999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15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0.199999999999999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15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0.199999999999999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15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0.199999999999999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15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0.199999999999999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15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0.199999999999999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15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0.199999999999999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15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0.199999999999999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15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0.199999999999999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15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0.199999999999999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15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0.199999999999999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15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0.199999999999999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15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0.199999999999999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15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0.199999999999999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15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0.199999999999999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15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0.199999999999999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15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0.199999999999999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15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0.199999999999999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15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0.199999999999999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15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0.199999999999999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15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0.199999999999999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15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0.199999999999999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15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0.199999999999999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15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0.199999999999999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15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0.199999999999999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15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0.199999999999999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15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0.199999999999999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15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0.199999999999999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15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0.199999999999999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15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0.199999999999999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15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0.199999999999999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15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0.199999999999999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15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0.199999999999999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15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0.199999999999999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15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0.199999999999999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15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0.199999999999999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15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0.199999999999999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15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0.199999999999999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15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0.199999999999999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15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0.199999999999999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15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0.199999999999999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15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0.199999999999999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15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0.199999999999999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15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0.199999999999999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15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0.199999999999999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15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0.199999999999999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15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0.199999999999999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15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0.199999999999999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15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0.199999999999999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15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0.199999999999999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15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0.199999999999999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15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0.199999999999999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15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0.199999999999999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15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0.199999999999999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15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0.199999999999999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15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0.199999999999999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15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0.199999999999999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15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0.199999999999999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15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0.199999999999999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15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0.199999999999999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15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0.199999999999999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15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0.199999999999999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15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0.199999999999999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15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0.199999999999999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15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0.199999999999999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15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0.199999999999999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15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0.199999999999999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15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0.199999999999999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15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0.199999999999999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15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0.199999999999999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15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0.199999999999999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15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0.199999999999999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15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0.199999999999999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15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0.199999999999999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15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0.199999999999999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15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0.199999999999999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15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0.199999999999999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15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0.199999999999999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15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0.199999999999999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15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0.199999999999999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15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0.199999999999999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15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0.199999999999999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15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0.199999999999999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15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0.199999999999999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15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0.199999999999999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15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0.199999999999999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15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0.199999999999999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15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0.199999999999999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15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0.199999999999999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15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0.199999999999999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15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0.199999999999999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15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0.199999999999999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15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0.199999999999999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15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0.199999999999999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15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0.199999999999999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15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0.199999999999999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15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0.199999999999999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15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0.199999999999999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15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0.199999999999999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15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0.199999999999999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15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0.199999999999999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15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0.199999999999999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15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0.199999999999999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15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0.199999999999999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15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0.199999999999999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15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0.199999999999999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15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0.199999999999999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15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0.199999999999999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15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0.199999999999999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15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0.199999999999999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15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0.199999999999999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15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0.199999999999999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15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0.199999999999999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15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0.199999999999999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15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0.199999999999999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15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0.199999999999999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15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0.199999999999999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15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0.199999999999999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15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0.199999999999999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15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0.199999999999999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15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0.199999999999999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15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0.199999999999999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15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0.199999999999999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15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0.199999999999999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15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0.199999999999999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15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0.199999999999999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15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0.199999999999999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15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0.199999999999999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15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0.199999999999999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15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0.199999999999999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15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0.199999999999999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15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0.199999999999999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15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0.199999999999999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15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0.199999999999999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15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0.199999999999999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15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0.199999999999999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15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0.199999999999999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15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0.199999999999999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15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0.199999999999999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15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0.199999999999999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15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0.199999999999999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15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0.199999999999999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15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0.199999999999999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15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0.199999999999999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15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0.199999999999999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15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0.199999999999999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15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0.199999999999999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15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0.199999999999999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15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0.199999999999999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15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0.199999999999999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15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0.199999999999999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15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0.199999999999999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15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0.199999999999999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15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0.199999999999999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15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0.199999999999999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15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0.199999999999999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15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0.199999999999999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15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0.199999999999999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15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0.199999999999999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15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0.199999999999999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15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0.199999999999999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15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0.199999999999999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15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0.199999999999999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15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0.199999999999999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15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0.199999999999999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15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0.199999999999999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15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0.199999999999999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15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0.199999999999999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15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0.199999999999999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15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0.199999999999999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15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0.199999999999999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15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0.199999999999999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15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0.199999999999999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15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0.199999999999999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15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0.199999999999999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15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0.199999999999999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15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0.199999999999999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15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0.199999999999999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15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0.199999999999999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15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0.199999999999999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15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0.199999999999999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15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0.199999999999999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15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0.199999999999999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15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0.199999999999999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15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0.199999999999999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15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0.199999999999999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15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0.199999999999999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15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0.199999999999999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15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0.199999999999999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15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0.199999999999999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15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0.199999999999999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15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0.199999999999999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15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0.199999999999999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15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0.199999999999999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15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0.199999999999999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15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0.199999999999999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15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0.199999999999999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15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0.199999999999999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15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0.199999999999999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15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0.199999999999999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15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0.199999999999999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15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0.199999999999999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15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0.199999999999999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15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0.199999999999999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15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0.199999999999999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15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0.199999999999999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15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0.199999999999999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15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0.199999999999999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15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0.199999999999999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15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0.199999999999999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15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0.199999999999999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15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0.199999999999999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15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0.199999999999999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15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0.199999999999999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15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0.199999999999999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15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0.199999999999999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15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0.199999999999999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15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0.199999999999999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15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0.199999999999999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15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0.199999999999999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15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0.199999999999999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15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0.199999999999999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15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0.199999999999999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15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0.199999999999999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15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0.199999999999999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15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0.199999999999999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15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0.199999999999999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15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0.199999999999999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15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0.199999999999999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15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0.199999999999999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15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0.199999999999999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15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0.199999999999999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15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0.199999999999999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15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0.199999999999999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15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0.199999999999999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15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0.199999999999999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15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0.199999999999999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15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0.199999999999999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15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0.199999999999999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15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0.199999999999999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15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0.199999999999999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15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0.199999999999999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15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0.199999999999999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15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0.199999999999999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15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0.199999999999999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15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0.199999999999999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15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0.199999999999999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15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0.199999999999999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15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0.199999999999999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15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0.199999999999999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15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0.199999999999999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15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0.199999999999999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15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0.199999999999999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15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0.199999999999999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15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0.199999999999999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15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0.199999999999999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15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0.199999999999999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15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0.199999999999999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15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0.199999999999999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15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0.199999999999999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15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0.199999999999999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15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0.199999999999999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15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0.199999999999999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15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0.199999999999999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15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0.199999999999999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15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0.199999999999999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15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0.199999999999999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15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0.199999999999999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15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0.199999999999999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15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0.199999999999999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15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0.199999999999999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15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0.199999999999999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15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0.199999999999999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15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0.199999999999999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15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0.199999999999999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15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0.199999999999999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15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0.199999999999999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15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0.199999999999999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15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0.199999999999999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15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0.199999999999999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15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0.199999999999999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15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0.199999999999999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15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0.199999999999999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15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0.199999999999999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15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0.199999999999999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15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0.199999999999999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15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0.199999999999999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15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0.199999999999999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15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0.199999999999999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15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0.199999999999999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15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0.199999999999999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15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0.199999999999999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15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0.199999999999999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15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0.199999999999999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15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0.199999999999999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15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0.199999999999999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15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0.199999999999999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15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0.199999999999999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15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0.199999999999999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15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0.199999999999999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15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0.199999999999999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15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0.199999999999999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15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0.199999999999999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15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0.199999999999999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15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0.199999999999999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15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0.199999999999999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15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0.199999999999999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15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0.199999999999999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15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0.199999999999999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15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0.199999999999999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15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0.199999999999999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15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0.199999999999999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15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0.199999999999999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15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0.199999999999999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15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0.199999999999999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15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0.199999999999999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15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0.199999999999999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15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0.199999999999999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15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0.199999999999999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15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0.199999999999999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15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0.199999999999999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15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0.199999999999999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15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0.199999999999999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15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0.199999999999999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15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0.199999999999999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15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0.199999999999999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15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0.199999999999999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15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0.199999999999999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15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0.199999999999999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15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0.199999999999999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15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0.199999999999999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15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0.199999999999999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15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0.199999999999999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15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0.199999999999999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15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0.199999999999999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15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0.199999999999999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15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0.199999999999999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15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0.199999999999999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15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0.199999999999999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15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0.199999999999999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15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0.199999999999999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15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0.199999999999999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15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0.199999999999999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15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0.199999999999999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15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0.199999999999999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15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0.199999999999999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15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0.199999999999999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15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0.199999999999999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15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0.199999999999999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15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0.199999999999999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15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0.199999999999999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15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0.199999999999999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15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0.199999999999999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15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0.199999999999999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15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0.199999999999999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15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0.199999999999999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15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0.199999999999999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15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0.199999999999999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15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0.199999999999999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15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0.199999999999999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15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0.199999999999999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15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0.199999999999999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15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0.199999999999999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15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0.199999999999999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15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0.199999999999999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15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0.199999999999999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15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0.199999999999999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15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0.199999999999999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15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0.199999999999999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15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0.199999999999999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15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0.199999999999999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15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0.199999999999999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15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0.199999999999999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15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0.199999999999999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15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0.199999999999999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15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0.199999999999999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15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0.199999999999999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15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0.199999999999999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15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0.199999999999999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15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0.199999999999999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15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0.199999999999999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15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0.199999999999999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15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0.199999999999999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15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0.199999999999999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15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0.199999999999999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15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0.199999999999999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15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0.199999999999999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15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0.199999999999999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15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0.199999999999999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15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0.199999999999999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15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0.199999999999999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15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0.199999999999999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15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0.199999999999999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15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0.199999999999999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15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0.199999999999999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15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0.199999999999999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15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0.199999999999999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15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0.199999999999999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15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0.199999999999999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15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0.199999999999999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15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0.199999999999999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15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0.199999999999999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15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0.199999999999999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15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0.199999999999999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15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0.199999999999999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15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0.199999999999999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15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0.199999999999999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15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0.199999999999999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15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0.199999999999999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15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0.199999999999999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15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0.199999999999999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15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0.199999999999999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15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0.199999999999999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15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0.199999999999999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15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0.199999999999999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15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0.199999999999999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15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0.199999999999999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15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0.199999999999999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15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0.199999999999999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15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0.199999999999999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15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0.199999999999999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15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0.199999999999999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15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0.199999999999999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15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0.199999999999999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15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0.199999999999999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15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0.199999999999999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15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0.199999999999999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15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0.199999999999999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15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0.199999999999999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15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0.199999999999999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15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0.199999999999999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15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0.199999999999999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15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0.199999999999999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15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0.199999999999999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15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0.199999999999999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15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0.199999999999999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15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0.199999999999999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15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0.199999999999999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15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0.199999999999999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15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0.199999999999999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15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0.199999999999999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15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0.199999999999999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15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0.199999999999999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15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0.199999999999999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15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0.199999999999999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15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0.199999999999999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15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0.199999999999999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15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0.199999999999999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15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0.199999999999999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15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0.199999999999999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15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0.199999999999999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15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0.199999999999999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15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0.199999999999999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15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0.199999999999999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15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0.199999999999999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15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0.199999999999999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15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0.199999999999999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15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0.199999999999999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15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0.199999999999999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15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0.199999999999999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15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0.199999999999999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15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0.199999999999999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15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0.199999999999999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15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0.199999999999999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15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0.199999999999999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15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0.199999999999999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15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0.199999999999999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15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0.199999999999999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15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0.199999999999999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15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0.199999999999999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15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0.199999999999999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15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0.199999999999999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15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0.199999999999999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15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0.199999999999999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15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0.199999999999999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15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0.199999999999999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15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0.199999999999999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15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0.199999999999999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15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0.199999999999999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15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0.199999999999999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15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0.199999999999999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15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0.199999999999999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15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0.199999999999999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15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0.199999999999999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15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0.199999999999999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15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0.199999999999999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15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0.199999999999999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15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0.199999999999999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15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0.199999999999999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15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0.199999999999999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15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0.199999999999999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15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0.199999999999999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15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0.199999999999999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15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0.199999999999999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15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0.199999999999999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15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0.199999999999999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15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0.199999999999999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15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0.199999999999999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15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0.199999999999999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15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0.199999999999999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15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0.199999999999999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15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0.199999999999999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15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0.199999999999999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15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0.199999999999999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15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0.199999999999999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15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0.199999999999999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15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0.199999999999999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15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0.199999999999999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15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0.199999999999999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15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0.199999999999999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15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0.199999999999999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15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0.199999999999999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15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0.199999999999999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15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0.199999999999999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15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0.199999999999999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15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0.199999999999999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15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0.199999999999999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15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0.199999999999999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15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0.199999999999999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15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0.199999999999999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15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0.199999999999999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15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0.199999999999999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15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0.199999999999999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15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0.199999999999999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15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0.199999999999999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15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0.199999999999999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15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0.199999999999999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15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0.199999999999999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15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0.199999999999999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15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0.199999999999999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15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0.199999999999999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15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0.199999999999999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15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0.199999999999999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15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0.199999999999999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15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0.199999999999999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15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0.199999999999999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15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0.199999999999999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15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0.199999999999999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15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0.199999999999999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15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0.199999999999999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15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0.199999999999999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15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0.199999999999999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15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0.199999999999999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15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0.199999999999999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15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0.199999999999999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15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0.199999999999999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15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0.199999999999999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15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0.199999999999999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15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0.199999999999999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15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0.199999999999999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15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0.199999999999999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15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0.199999999999999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15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0.199999999999999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15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0.199999999999999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15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0.199999999999999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15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0.199999999999999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15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0.199999999999999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15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0.199999999999999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15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0.199999999999999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15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0.199999999999999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15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0.199999999999999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15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0.199999999999999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15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0.199999999999999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15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0.199999999999999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15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0.199999999999999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15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0.199999999999999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15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0.199999999999999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15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0.199999999999999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15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0.199999999999999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15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0.199999999999999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15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0.199999999999999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15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0.199999999999999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15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0.199999999999999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15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0.199999999999999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15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0.199999999999999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15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0.199999999999999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15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0.199999999999999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15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0.199999999999999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15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0.199999999999999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15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0.199999999999999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15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0.199999999999999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15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0.199999999999999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15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0.199999999999999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15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0.199999999999999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15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0.199999999999999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15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0.199999999999999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15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0.199999999999999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15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0.199999999999999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15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0.199999999999999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15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0.199999999999999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15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0.199999999999999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15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">
    <mergeCell ref="B1:E1"/>
    <mergeCell ref="A2:A3"/>
    <mergeCell ref="B2:E3"/>
    <mergeCell ref="B4:E4"/>
  </mergeCells>
  <dataValidations count="1">
    <dataValidation type="list" allowBlank="1" showErrorMessage="1" sqref="G2:G3 J2:J3 M2:M3 G9 J9 M9 F12:F20 I12:I20 L12:L20 G21:G147 J21:J147 M21:M147" xr:uid="{00000000-0002-0000-0700-000000000000}">
      <formula1>$R$2:$R$5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999"/>
  <sheetViews>
    <sheetView topLeftCell="A22" workbookViewId="0"/>
  </sheetViews>
  <sheetFormatPr defaultColWidth="12.6640625" defaultRowHeight="13.2" x14ac:dyDescent="0.2"/>
  <cols>
    <col min="1" max="1" width="14" customWidth="1"/>
    <col min="2" max="2" width="34" customWidth="1"/>
    <col min="3" max="3" width="58" customWidth="1"/>
    <col min="4" max="4" width="48" customWidth="1"/>
    <col min="5" max="5" width="38" customWidth="1"/>
    <col min="6" max="6" width="9.33203125" customWidth="1"/>
    <col min="7" max="7" width="13" customWidth="1"/>
    <col min="8" max="8" width="8.77734375" customWidth="1"/>
    <col min="9" max="9" width="9.33203125" customWidth="1"/>
    <col min="10" max="10" width="13" customWidth="1"/>
    <col min="11" max="11" width="8.21875" customWidth="1"/>
    <col min="12" max="12" width="9.33203125" customWidth="1"/>
    <col min="13" max="13" width="13" customWidth="1"/>
    <col min="14" max="14" width="9.44140625" customWidth="1"/>
    <col min="15" max="15" width="28.6640625" customWidth="1"/>
    <col min="16" max="16" width="10.109375" customWidth="1"/>
    <col min="17" max="17" width="8.109375" customWidth="1"/>
    <col min="18" max="18" width="7.6640625" hidden="1" customWidth="1"/>
    <col min="19" max="26" width="9" customWidth="1"/>
  </cols>
  <sheetData>
    <row r="1" spans="1:26" ht="10.199999999999999" customHeight="1" x14ac:dyDescent="0.25">
      <c r="A1" s="53"/>
      <c r="B1" s="154"/>
      <c r="C1" s="154"/>
      <c r="D1" s="154"/>
      <c r="E1" s="154"/>
      <c r="F1" s="18"/>
      <c r="G1" s="18"/>
      <c r="H1" s="18"/>
      <c r="I1" s="18"/>
      <c r="J1" s="18"/>
      <c r="K1" s="18"/>
      <c r="L1" s="18"/>
      <c r="M1" s="18"/>
      <c r="N1" s="18"/>
      <c r="O1" s="18"/>
      <c r="P1" s="4"/>
      <c r="Q1" s="15"/>
      <c r="R1" s="4"/>
      <c r="S1" s="4"/>
      <c r="T1" s="4"/>
      <c r="U1" s="4"/>
      <c r="V1" s="4"/>
      <c r="W1" s="4"/>
      <c r="X1" s="4"/>
      <c r="Y1" s="4"/>
      <c r="Z1" s="4"/>
    </row>
    <row r="2" spans="1:26" ht="33.6" customHeight="1" x14ac:dyDescent="0.25">
      <c r="A2" s="155" t="s">
        <v>29</v>
      </c>
      <c r="B2" s="156" t="s">
        <v>495</v>
      </c>
      <c r="C2" s="157"/>
      <c r="D2" s="157"/>
      <c r="E2" s="157"/>
      <c r="F2" s="16"/>
      <c r="G2" s="17"/>
      <c r="H2" s="18"/>
      <c r="I2" s="16"/>
      <c r="J2" s="17"/>
      <c r="K2" s="18"/>
      <c r="L2" s="16"/>
      <c r="M2" s="17"/>
      <c r="N2" s="18"/>
      <c r="O2" s="18"/>
      <c r="P2" s="18"/>
      <c r="Q2" s="19"/>
      <c r="R2" s="20" t="s">
        <v>24</v>
      </c>
      <c r="S2" s="20"/>
      <c r="T2" s="20"/>
      <c r="U2" s="20"/>
      <c r="V2" s="20"/>
      <c r="W2" s="20"/>
      <c r="X2" s="20"/>
      <c r="Y2" s="20"/>
      <c r="Z2" s="20"/>
    </row>
    <row r="3" spans="1:26" ht="33.6" customHeight="1" x14ac:dyDescent="0.25">
      <c r="A3" s="155" t="s">
        <v>30</v>
      </c>
      <c r="B3" s="156" t="s">
        <v>496</v>
      </c>
      <c r="C3" s="157"/>
      <c r="D3" s="157"/>
      <c r="E3" s="157"/>
      <c r="F3" s="16"/>
      <c r="G3" s="17"/>
      <c r="H3" s="18"/>
      <c r="I3" s="16"/>
      <c r="J3" s="17"/>
      <c r="K3" s="18"/>
      <c r="L3" s="16"/>
      <c r="M3" s="17"/>
      <c r="N3" s="18"/>
      <c r="O3" s="18"/>
      <c r="P3" s="18"/>
      <c r="Q3" s="19"/>
      <c r="R3" s="20" t="s">
        <v>25</v>
      </c>
      <c r="S3" s="20"/>
      <c r="T3" s="20"/>
      <c r="U3" s="20"/>
      <c r="V3" s="20"/>
      <c r="W3" s="20"/>
      <c r="X3" s="20"/>
      <c r="Y3" s="20"/>
      <c r="Z3" s="20"/>
    </row>
    <row r="4" spans="1:26" ht="14.4" customHeight="1" x14ac:dyDescent="0.25">
      <c r="A4" s="52" t="s">
        <v>31</v>
      </c>
      <c r="B4" s="156">
        <v>10</v>
      </c>
      <c r="C4" s="157"/>
      <c r="D4" s="157"/>
      <c r="E4" s="157"/>
      <c r="F4" s="16"/>
      <c r="G4" s="17"/>
      <c r="H4" s="18"/>
      <c r="I4" s="16"/>
      <c r="J4" s="17"/>
      <c r="K4" s="18"/>
      <c r="L4" s="16"/>
      <c r="M4" s="17"/>
      <c r="N4" s="18"/>
      <c r="O4" s="18"/>
      <c r="P4" s="18"/>
      <c r="Q4" s="19"/>
      <c r="R4" s="20" t="s">
        <v>26</v>
      </c>
      <c r="S4" s="20"/>
      <c r="T4" s="20"/>
      <c r="U4" s="20"/>
      <c r="V4" s="20"/>
      <c r="W4" s="20"/>
      <c r="X4" s="20"/>
      <c r="Y4" s="20"/>
      <c r="Z4" s="20"/>
    </row>
    <row r="5" spans="1:26" ht="15.6" customHeight="1" x14ac:dyDescent="0.25">
      <c r="A5" s="51" t="s">
        <v>360</v>
      </c>
      <c r="B5" s="51" t="s">
        <v>24</v>
      </c>
      <c r="C5" s="51" t="s">
        <v>25</v>
      </c>
      <c r="D5" s="51" t="s">
        <v>26</v>
      </c>
      <c r="E5" s="51" t="s">
        <v>27</v>
      </c>
      <c r="F5" s="21"/>
      <c r="G5" s="21"/>
      <c r="H5" s="22"/>
      <c r="I5" s="21"/>
      <c r="J5" s="21"/>
      <c r="K5" s="22"/>
      <c r="L5" s="21"/>
      <c r="M5" s="21"/>
      <c r="N5" s="22"/>
      <c r="O5" s="22"/>
      <c r="P5" s="22"/>
      <c r="Q5" s="23"/>
      <c r="R5" s="20" t="s">
        <v>27</v>
      </c>
      <c r="S5" s="20"/>
      <c r="T5" s="20"/>
      <c r="U5" s="20"/>
      <c r="V5" s="20"/>
      <c r="W5" s="20"/>
      <c r="X5" s="20"/>
      <c r="Y5" s="20"/>
      <c r="Z5" s="20"/>
    </row>
    <row r="6" spans="1:26" ht="12" customHeight="1" x14ac:dyDescent="0.25">
      <c r="A6" s="51" t="s">
        <v>361</v>
      </c>
      <c r="B6" s="51">
        <f t="shared" ref="B6:E6" si="0">COUNTIF($F$12:$F$1005,B$5)</f>
        <v>10</v>
      </c>
      <c r="C6" s="51">
        <f t="shared" si="0"/>
        <v>0</v>
      </c>
      <c r="D6" s="51">
        <f t="shared" si="0"/>
        <v>0</v>
      </c>
      <c r="E6" s="51">
        <f t="shared" si="0"/>
        <v>0</v>
      </c>
      <c r="F6" s="24"/>
      <c r="G6" s="24"/>
      <c r="H6" s="22"/>
      <c r="I6" s="24"/>
      <c r="J6" s="24"/>
      <c r="K6" s="22"/>
      <c r="L6" s="24"/>
      <c r="M6" s="24"/>
      <c r="N6" s="22"/>
      <c r="O6" s="22"/>
      <c r="P6" s="22"/>
      <c r="Q6" s="23"/>
      <c r="R6" s="20"/>
      <c r="S6" s="20"/>
      <c r="T6" s="20"/>
      <c r="U6" s="20"/>
      <c r="V6" s="20"/>
      <c r="W6" s="20"/>
      <c r="X6" s="20"/>
      <c r="Y6" s="20"/>
      <c r="Z6" s="20"/>
    </row>
    <row r="7" spans="1:26" ht="12" customHeight="1" x14ac:dyDescent="0.25">
      <c r="A7" s="51" t="s">
        <v>362</v>
      </c>
      <c r="B7" s="51">
        <f t="shared" ref="B7:E7" si="1">COUNTIF($I$12:$I$1005,B$5)</f>
        <v>10</v>
      </c>
      <c r="C7" s="51">
        <f t="shared" si="1"/>
        <v>0</v>
      </c>
      <c r="D7" s="51">
        <f t="shared" si="1"/>
        <v>0</v>
      </c>
      <c r="E7" s="51">
        <f t="shared" si="1"/>
        <v>0</v>
      </c>
      <c r="F7" s="24"/>
      <c r="G7" s="24"/>
      <c r="H7" s="22"/>
      <c r="I7" s="24"/>
      <c r="J7" s="24"/>
      <c r="K7" s="22"/>
      <c r="L7" s="24"/>
      <c r="M7" s="24"/>
      <c r="N7" s="22"/>
      <c r="O7" s="22"/>
      <c r="P7" s="22"/>
      <c r="Q7" s="23"/>
      <c r="R7" s="20"/>
      <c r="S7" s="20"/>
      <c r="T7" s="20"/>
      <c r="U7" s="20"/>
      <c r="V7" s="20"/>
      <c r="W7" s="20"/>
      <c r="X7" s="20"/>
      <c r="Y7" s="20"/>
      <c r="Z7" s="20"/>
    </row>
    <row r="8" spans="1:26" ht="12" customHeight="1" x14ac:dyDescent="0.25">
      <c r="A8" s="51" t="s">
        <v>363</v>
      </c>
      <c r="B8" s="51">
        <f t="shared" ref="B8:E8" si="2">COUNTIF($L$12:$L$1005,B$5)</f>
        <v>10</v>
      </c>
      <c r="C8" s="51">
        <f t="shared" si="2"/>
        <v>0</v>
      </c>
      <c r="D8" s="51">
        <f t="shared" si="2"/>
        <v>0</v>
      </c>
      <c r="E8" s="51">
        <f t="shared" si="2"/>
        <v>0</v>
      </c>
      <c r="F8" s="24"/>
      <c r="G8" s="24"/>
      <c r="H8" s="22"/>
      <c r="I8" s="24"/>
      <c r="J8" s="24"/>
      <c r="K8" s="22"/>
      <c r="L8" s="24"/>
      <c r="M8" s="24"/>
      <c r="N8" s="22"/>
      <c r="O8" s="22"/>
      <c r="P8" s="22"/>
      <c r="Q8" s="23"/>
      <c r="R8" s="20"/>
      <c r="S8" s="20"/>
      <c r="T8" s="20"/>
      <c r="U8" s="20"/>
      <c r="V8" s="20"/>
      <c r="W8" s="20"/>
      <c r="X8" s="20"/>
      <c r="Y8" s="20"/>
      <c r="Z8" s="20"/>
    </row>
    <row r="9" spans="1:26" ht="12" customHeight="1" x14ac:dyDescent="0.25">
      <c r="A9" s="22"/>
      <c r="B9" s="22"/>
      <c r="C9" s="22"/>
      <c r="D9" s="22"/>
      <c r="E9" s="22"/>
      <c r="F9" s="14"/>
      <c r="G9" s="22"/>
      <c r="H9" s="22"/>
      <c r="I9" s="14"/>
      <c r="J9" s="22"/>
      <c r="K9" s="22"/>
      <c r="L9" s="14"/>
      <c r="M9" s="22"/>
      <c r="N9" s="22"/>
      <c r="O9" s="22"/>
      <c r="P9" s="22"/>
      <c r="Q9" s="23"/>
      <c r="R9" s="20"/>
      <c r="S9" s="20"/>
      <c r="T9" s="20"/>
      <c r="U9" s="20"/>
      <c r="V9" s="20"/>
      <c r="W9" s="20"/>
      <c r="X9" s="20"/>
      <c r="Y9" s="20"/>
      <c r="Z9" s="20"/>
    </row>
    <row r="10" spans="1:26" ht="20.399999999999999" customHeight="1" x14ac:dyDescent="0.25">
      <c r="A10" s="54" t="s">
        <v>364</v>
      </c>
      <c r="B10" s="54" t="s">
        <v>365</v>
      </c>
      <c r="C10" s="54" t="s">
        <v>366</v>
      </c>
      <c r="D10" s="54" t="s">
        <v>367</v>
      </c>
      <c r="E10" s="54" t="s">
        <v>368</v>
      </c>
      <c r="F10" s="54" t="s">
        <v>361</v>
      </c>
      <c r="G10" s="54" t="s">
        <v>369</v>
      </c>
      <c r="H10" s="54" t="s">
        <v>370</v>
      </c>
      <c r="I10" s="54" t="s">
        <v>362</v>
      </c>
      <c r="J10" s="54" t="s">
        <v>369</v>
      </c>
      <c r="K10" s="54" t="s">
        <v>370</v>
      </c>
      <c r="L10" s="54" t="s">
        <v>363</v>
      </c>
      <c r="M10" s="54" t="s">
        <v>369</v>
      </c>
      <c r="N10" s="54" t="s">
        <v>370</v>
      </c>
      <c r="O10" s="54" t="s">
        <v>371</v>
      </c>
      <c r="P10" s="20"/>
      <c r="Q10" s="25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34.200000000000003" customHeight="1" x14ac:dyDescent="0.25">
      <c r="A11" s="55" t="s">
        <v>497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20"/>
      <c r="Q11" s="26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94.35" customHeight="1" x14ac:dyDescent="0.2">
      <c r="A12" s="56" t="s">
        <v>498</v>
      </c>
      <c r="B12" s="56" t="s">
        <v>102</v>
      </c>
      <c r="C12" s="56" t="s">
        <v>499</v>
      </c>
      <c r="D12" s="57" t="s">
        <v>103</v>
      </c>
      <c r="E12" s="57" t="s">
        <v>95</v>
      </c>
      <c r="F12" s="56" t="s">
        <v>24</v>
      </c>
      <c r="G12" s="63">
        <v>46235</v>
      </c>
      <c r="H12" s="56" t="s">
        <v>375</v>
      </c>
      <c r="I12" s="56" t="s">
        <v>24</v>
      </c>
      <c r="J12" s="63">
        <v>46242</v>
      </c>
      <c r="K12" s="56" t="s">
        <v>375</v>
      </c>
      <c r="L12" s="56" t="s">
        <v>24</v>
      </c>
      <c r="M12" s="63">
        <v>46249</v>
      </c>
      <c r="N12" s="56" t="s">
        <v>375</v>
      </c>
      <c r="O12" s="56"/>
      <c r="P12" s="27"/>
      <c r="Q12" s="28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94.35" customHeight="1" x14ac:dyDescent="0.25">
      <c r="A13" s="56" t="s">
        <v>500</v>
      </c>
      <c r="B13" s="56" t="s">
        <v>104</v>
      </c>
      <c r="C13" s="56" t="s">
        <v>501</v>
      </c>
      <c r="D13" s="57" t="s">
        <v>105</v>
      </c>
      <c r="E13" s="57" t="s">
        <v>106</v>
      </c>
      <c r="F13" s="56" t="s">
        <v>24</v>
      </c>
      <c r="G13" s="63">
        <v>46235</v>
      </c>
      <c r="H13" s="56" t="s">
        <v>375</v>
      </c>
      <c r="I13" s="56" t="s">
        <v>24</v>
      </c>
      <c r="J13" s="63">
        <v>46242</v>
      </c>
      <c r="K13" s="56" t="s">
        <v>375</v>
      </c>
      <c r="L13" s="56" t="s">
        <v>24</v>
      </c>
      <c r="M13" s="63">
        <v>46249</v>
      </c>
      <c r="N13" s="56" t="s">
        <v>375</v>
      </c>
      <c r="O13" s="56"/>
      <c r="P13" s="4"/>
      <c r="Q13" s="30"/>
      <c r="R13" s="4"/>
      <c r="S13" s="4"/>
      <c r="T13" s="4"/>
      <c r="U13" s="4"/>
      <c r="V13" s="4"/>
      <c r="W13" s="4"/>
      <c r="X13" s="4"/>
      <c r="Y13" s="4"/>
      <c r="Z13" s="4"/>
    </row>
    <row r="14" spans="1:26" ht="94.35" customHeight="1" x14ac:dyDescent="0.25">
      <c r="A14" s="58" t="s">
        <v>502</v>
      </c>
      <c r="B14" s="58" t="s">
        <v>107</v>
      </c>
      <c r="C14" s="58" t="s">
        <v>503</v>
      </c>
      <c r="D14" s="58" t="s">
        <v>108</v>
      </c>
      <c r="E14" s="58" t="s">
        <v>109</v>
      </c>
      <c r="F14" s="58" t="s">
        <v>24</v>
      </c>
      <c r="G14" s="64">
        <v>46235</v>
      </c>
      <c r="H14" s="58" t="s">
        <v>375</v>
      </c>
      <c r="I14" s="58" t="s">
        <v>24</v>
      </c>
      <c r="J14" s="64">
        <v>46242</v>
      </c>
      <c r="K14" s="58" t="s">
        <v>375</v>
      </c>
      <c r="L14" s="58" t="s">
        <v>24</v>
      </c>
      <c r="M14" s="64">
        <v>46249</v>
      </c>
      <c r="N14" s="58" t="s">
        <v>375</v>
      </c>
      <c r="O14" s="58"/>
      <c r="P14" s="20"/>
      <c r="Q14" s="26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35.4" customHeight="1" x14ac:dyDescent="0.25">
      <c r="A15" s="60" t="s">
        <v>504</v>
      </c>
      <c r="B15" s="60"/>
      <c r="C15" s="60"/>
      <c r="D15" s="61"/>
      <c r="E15" s="61"/>
      <c r="F15" s="60"/>
      <c r="G15" s="65"/>
      <c r="H15" s="60"/>
      <c r="I15" s="60"/>
      <c r="J15" s="65"/>
      <c r="K15" s="60"/>
      <c r="L15" s="60"/>
      <c r="M15" s="65"/>
      <c r="N15" s="60"/>
      <c r="O15" s="60"/>
      <c r="P15" s="4"/>
      <c r="Q15" s="30"/>
      <c r="R15" s="4"/>
      <c r="S15" s="4"/>
      <c r="T15" s="4"/>
      <c r="U15" s="4"/>
      <c r="V15" s="4"/>
      <c r="W15" s="4"/>
      <c r="X15" s="4"/>
      <c r="Y15" s="4"/>
      <c r="Z15" s="4"/>
    </row>
    <row r="16" spans="1:26" ht="94.35" customHeight="1" x14ac:dyDescent="0.25">
      <c r="A16" s="56" t="s">
        <v>505</v>
      </c>
      <c r="B16" s="56" t="s">
        <v>110</v>
      </c>
      <c r="C16" s="56" t="s">
        <v>506</v>
      </c>
      <c r="D16" s="57" t="s">
        <v>111</v>
      </c>
      <c r="E16" s="57" t="s">
        <v>112</v>
      </c>
      <c r="F16" s="56" t="s">
        <v>24</v>
      </c>
      <c r="G16" s="63">
        <v>46235</v>
      </c>
      <c r="H16" s="56" t="s">
        <v>375</v>
      </c>
      <c r="I16" s="56" t="s">
        <v>24</v>
      </c>
      <c r="J16" s="63">
        <v>46242</v>
      </c>
      <c r="K16" s="56" t="s">
        <v>375</v>
      </c>
      <c r="L16" s="56" t="s">
        <v>24</v>
      </c>
      <c r="M16" s="63">
        <v>46249</v>
      </c>
      <c r="N16" s="56" t="s">
        <v>375</v>
      </c>
      <c r="O16" s="56"/>
      <c r="P16" s="4"/>
      <c r="Q16" s="30"/>
      <c r="R16" s="4"/>
      <c r="S16" s="4"/>
      <c r="T16" s="4"/>
      <c r="U16" s="4"/>
      <c r="V16" s="4"/>
      <c r="W16" s="4"/>
      <c r="X16" s="4"/>
      <c r="Y16" s="4"/>
      <c r="Z16" s="4"/>
    </row>
    <row r="17" spans="1:26" ht="43.2" customHeight="1" x14ac:dyDescent="0.25">
      <c r="A17" s="60" t="s">
        <v>507</v>
      </c>
      <c r="B17" s="60"/>
      <c r="C17" s="60"/>
      <c r="D17" s="61"/>
      <c r="E17" s="61"/>
      <c r="F17" s="60"/>
      <c r="G17" s="65"/>
      <c r="H17" s="60"/>
      <c r="I17" s="60"/>
      <c r="J17" s="65"/>
      <c r="K17" s="60"/>
      <c r="L17" s="60"/>
      <c r="M17" s="65"/>
      <c r="N17" s="60"/>
      <c r="O17" s="62"/>
      <c r="P17" s="4"/>
      <c r="Q17" s="15"/>
      <c r="R17" s="4"/>
      <c r="S17" s="4"/>
      <c r="T17" s="4"/>
      <c r="U17" s="4"/>
      <c r="V17" s="4"/>
      <c r="W17" s="4"/>
      <c r="X17" s="4"/>
      <c r="Y17" s="4"/>
      <c r="Z17" s="4"/>
    </row>
    <row r="18" spans="1:26" ht="94.35" customHeight="1" x14ac:dyDescent="0.25">
      <c r="A18" s="56" t="s">
        <v>508</v>
      </c>
      <c r="B18" s="56" t="s">
        <v>113</v>
      </c>
      <c r="C18" s="56" t="s">
        <v>509</v>
      </c>
      <c r="D18" s="57" t="s">
        <v>114</v>
      </c>
      <c r="E18" s="57" t="s">
        <v>115</v>
      </c>
      <c r="F18" s="56" t="s">
        <v>24</v>
      </c>
      <c r="G18" s="63">
        <v>46235</v>
      </c>
      <c r="H18" s="56" t="s">
        <v>375</v>
      </c>
      <c r="I18" s="56" t="s">
        <v>24</v>
      </c>
      <c r="J18" s="63">
        <v>46242</v>
      </c>
      <c r="K18" s="56" t="s">
        <v>375</v>
      </c>
      <c r="L18" s="56" t="s">
        <v>24</v>
      </c>
      <c r="M18" s="63">
        <v>46249</v>
      </c>
      <c r="N18" s="56" t="s">
        <v>375</v>
      </c>
      <c r="O18" s="59"/>
      <c r="P18" s="4"/>
      <c r="Q18" s="15"/>
      <c r="R18" s="4"/>
      <c r="S18" s="4"/>
      <c r="T18" s="4"/>
      <c r="U18" s="4"/>
      <c r="V18" s="4"/>
      <c r="W18" s="4"/>
      <c r="X18" s="4"/>
      <c r="Y18" s="4"/>
      <c r="Z18" s="4"/>
    </row>
    <row r="19" spans="1:26" ht="94.35" customHeight="1" x14ac:dyDescent="0.25">
      <c r="A19" s="56" t="s">
        <v>510</v>
      </c>
      <c r="B19" s="56" t="s">
        <v>116</v>
      </c>
      <c r="C19" s="56" t="s">
        <v>511</v>
      </c>
      <c r="D19" s="57" t="s">
        <v>117</v>
      </c>
      <c r="E19" s="57" t="s">
        <v>118</v>
      </c>
      <c r="F19" s="56" t="s">
        <v>24</v>
      </c>
      <c r="G19" s="63">
        <v>46235</v>
      </c>
      <c r="H19" s="56" t="s">
        <v>375</v>
      </c>
      <c r="I19" s="56" t="s">
        <v>24</v>
      </c>
      <c r="J19" s="63">
        <v>46242</v>
      </c>
      <c r="K19" s="56" t="s">
        <v>375</v>
      </c>
      <c r="L19" s="56" t="s">
        <v>24</v>
      </c>
      <c r="M19" s="63">
        <v>46249</v>
      </c>
      <c r="N19" s="56" t="s">
        <v>375</v>
      </c>
      <c r="O19" s="59"/>
      <c r="P19" s="4"/>
      <c r="Q19" s="15"/>
      <c r="R19" s="4"/>
      <c r="S19" s="4"/>
      <c r="T19" s="4"/>
      <c r="U19" s="4"/>
      <c r="V19" s="4"/>
      <c r="W19" s="4"/>
      <c r="X19" s="4"/>
      <c r="Y19" s="4"/>
      <c r="Z19" s="4"/>
    </row>
    <row r="20" spans="1:26" ht="94.35" customHeight="1" x14ac:dyDescent="0.25">
      <c r="A20" s="59" t="s">
        <v>512</v>
      </c>
      <c r="B20" s="59" t="s">
        <v>119</v>
      </c>
      <c r="C20" s="59" t="s">
        <v>513</v>
      </c>
      <c r="D20" s="59" t="s">
        <v>120</v>
      </c>
      <c r="E20" s="59" t="s">
        <v>121</v>
      </c>
      <c r="F20" s="59" t="s">
        <v>24</v>
      </c>
      <c r="G20" s="67">
        <v>46235</v>
      </c>
      <c r="H20" s="59" t="s">
        <v>375</v>
      </c>
      <c r="I20" s="59" t="s">
        <v>24</v>
      </c>
      <c r="J20" s="67">
        <v>46242</v>
      </c>
      <c r="K20" s="59" t="s">
        <v>375</v>
      </c>
      <c r="L20" s="59" t="s">
        <v>24</v>
      </c>
      <c r="M20" s="67">
        <v>46249</v>
      </c>
      <c r="N20" s="59" t="s">
        <v>375</v>
      </c>
      <c r="O20" s="59"/>
      <c r="P20" s="4"/>
      <c r="Q20" s="15"/>
      <c r="R20" s="4"/>
      <c r="S20" s="4"/>
      <c r="T20" s="4"/>
      <c r="U20" s="4"/>
      <c r="V20" s="4"/>
      <c r="W20" s="4"/>
      <c r="X20" s="4"/>
      <c r="Y20" s="4"/>
      <c r="Z20" s="4"/>
    </row>
    <row r="21" spans="1:26" ht="94.35" customHeight="1" x14ac:dyDescent="0.25">
      <c r="A21" s="59" t="s">
        <v>514</v>
      </c>
      <c r="B21" s="59" t="s">
        <v>122</v>
      </c>
      <c r="C21" s="59" t="s">
        <v>515</v>
      </c>
      <c r="D21" s="59" t="s">
        <v>123</v>
      </c>
      <c r="E21" s="59" t="s">
        <v>124</v>
      </c>
      <c r="F21" s="59" t="s">
        <v>24</v>
      </c>
      <c r="G21" s="67">
        <v>46235</v>
      </c>
      <c r="H21" s="59" t="s">
        <v>375</v>
      </c>
      <c r="I21" s="59" t="s">
        <v>24</v>
      </c>
      <c r="J21" s="67">
        <v>46242</v>
      </c>
      <c r="K21" s="59" t="s">
        <v>375</v>
      </c>
      <c r="L21" s="59" t="s">
        <v>24</v>
      </c>
      <c r="M21" s="67">
        <v>46249</v>
      </c>
      <c r="N21" s="59" t="s">
        <v>375</v>
      </c>
      <c r="O21" s="59"/>
      <c r="P21" s="4"/>
      <c r="Q21" s="15"/>
      <c r="R21" s="4"/>
      <c r="S21" s="4"/>
      <c r="T21" s="4"/>
      <c r="U21" s="4"/>
      <c r="V21" s="4"/>
      <c r="W21" s="4"/>
      <c r="X21" s="4"/>
      <c r="Y21" s="4"/>
      <c r="Z21" s="4"/>
    </row>
    <row r="22" spans="1:26" ht="94.35" customHeight="1" x14ac:dyDescent="0.25">
      <c r="A22" s="59" t="s">
        <v>516</v>
      </c>
      <c r="B22" s="59" t="s">
        <v>125</v>
      </c>
      <c r="C22" s="59" t="s">
        <v>517</v>
      </c>
      <c r="D22" s="59" t="s">
        <v>126</v>
      </c>
      <c r="E22" s="59" t="s">
        <v>127</v>
      </c>
      <c r="F22" s="59" t="s">
        <v>24</v>
      </c>
      <c r="G22" s="67">
        <v>46235</v>
      </c>
      <c r="H22" s="59" t="s">
        <v>375</v>
      </c>
      <c r="I22" s="59" t="s">
        <v>24</v>
      </c>
      <c r="J22" s="67">
        <v>46242</v>
      </c>
      <c r="K22" s="59" t="s">
        <v>375</v>
      </c>
      <c r="L22" s="59" t="s">
        <v>24</v>
      </c>
      <c r="M22" s="67">
        <v>46249</v>
      </c>
      <c r="N22" s="59" t="s">
        <v>375</v>
      </c>
      <c r="O22" s="59"/>
      <c r="P22" s="4"/>
      <c r="Q22" s="15"/>
      <c r="R22" s="4"/>
      <c r="S22" s="4"/>
      <c r="T22" s="4"/>
      <c r="U22" s="4"/>
      <c r="V22" s="4"/>
      <c r="W22" s="4"/>
      <c r="X22" s="4"/>
      <c r="Y22" s="4"/>
      <c r="Z22" s="4"/>
    </row>
    <row r="23" spans="1:26" ht="94.35" customHeight="1" x14ac:dyDescent="0.25">
      <c r="A23" s="59" t="s">
        <v>518</v>
      </c>
      <c r="B23" s="59" t="s">
        <v>128</v>
      </c>
      <c r="C23" s="59" t="s">
        <v>519</v>
      </c>
      <c r="D23" s="59" t="s">
        <v>129</v>
      </c>
      <c r="E23" s="59" t="s">
        <v>130</v>
      </c>
      <c r="F23" s="59" t="s">
        <v>24</v>
      </c>
      <c r="G23" s="67">
        <v>46235</v>
      </c>
      <c r="H23" s="59" t="s">
        <v>375</v>
      </c>
      <c r="I23" s="59" t="s">
        <v>24</v>
      </c>
      <c r="J23" s="67">
        <v>46242</v>
      </c>
      <c r="K23" s="59" t="s">
        <v>375</v>
      </c>
      <c r="L23" s="59" t="s">
        <v>24</v>
      </c>
      <c r="M23" s="67">
        <v>46249</v>
      </c>
      <c r="N23" s="59" t="s">
        <v>375</v>
      </c>
      <c r="O23" s="59"/>
      <c r="P23" s="4"/>
      <c r="Q23" s="15"/>
      <c r="R23" s="4"/>
      <c r="S23" s="4"/>
      <c r="T23" s="4"/>
      <c r="U23" s="4"/>
      <c r="V23" s="4"/>
      <c r="W23" s="4"/>
      <c r="X23" s="4"/>
      <c r="Y23" s="4"/>
      <c r="Z23" s="4"/>
    </row>
    <row r="24" spans="1:26" ht="94.35" customHeight="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4"/>
      <c r="Q24" s="15"/>
      <c r="R24" s="4"/>
      <c r="S24" s="4"/>
      <c r="T24" s="4"/>
      <c r="U24" s="4"/>
      <c r="V24" s="4"/>
      <c r="W24" s="4"/>
      <c r="X24" s="4"/>
      <c r="Y24" s="4"/>
      <c r="Z24" s="4"/>
    </row>
    <row r="25" spans="1:26" ht="94.35" customHeight="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4"/>
      <c r="Q25" s="15"/>
      <c r="R25" s="4"/>
      <c r="S25" s="4"/>
      <c r="T25" s="4"/>
      <c r="U25" s="4"/>
      <c r="V25" s="4"/>
      <c r="W25" s="4"/>
      <c r="X25" s="4"/>
      <c r="Y25" s="4"/>
      <c r="Z25" s="4"/>
    </row>
    <row r="26" spans="1:26" ht="94.35" customHeight="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4"/>
      <c r="Q26" s="15"/>
      <c r="R26" s="4"/>
      <c r="S26" s="4"/>
      <c r="T26" s="4"/>
      <c r="U26" s="4"/>
      <c r="V26" s="4"/>
      <c r="W26" s="4"/>
      <c r="X26" s="4"/>
      <c r="Y26" s="4"/>
      <c r="Z26" s="4"/>
    </row>
    <row r="27" spans="1:26" ht="94.35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4"/>
      <c r="Q27" s="15"/>
      <c r="R27" s="4"/>
      <c r="S27" s="4"/>
      <c r="T27" s="4"/>
      <c r="U27" s="4"/>
      <c r="V27" s="4"/>
      <c r="W27" s="4"/>
      <c r="X27" s="4"/>
      <c r="Y27" s="4"/>
      <c r="Z27" s="4"/>
    </row>
    <row r="28" spans="1:26" ht="94.3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4"/>
      <c r="Q28" s="15"/>
      <c r="R28" s="4"/>
      <c r="S28" s="4"/>
      <c r="T28" s="4"/>
      <c r="U28" s="4"/>
      <c r="V28" s="4"/>
      <c r="W28" s="4"/>
      <c r="X28" s="4"/>
      <c r="Y28" s="4"/>
      <c r="Z28" s="4"/>
    </row>
    <row r="29" spans="1:26" ht="94.3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4"/>
      <c r="Q29" s="15"/>
      <c r="R29" s="4"/>
      <c r="S29" s="4"/>
      <c r="T29" s="4"/>
      <c r="U29" s="4"/>
      <c r="V29" s="4"/>
      <c r="W29" s="4"/>
      <c r="X29" s="4"/>
      <c r="Y29" s="4"/>
      <c r="Z29" s="4"/>
    </row>
    <row r="30" spans="1:26" ht="94.35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4"/>
      <c r="Q30" s="15"/>
      <c r="R30" s="4"/>
      <c r="S30" s="4"/>
      <c r="T30" s="4"/>
      <c r="U30" s="4"/>
      <c r="V30" s="4"/>
      <c r="W30" s="4"/>
      <c r="X30" s="4"/>
      <c r="Y30" s="4"/>
      <c r="Z30" s="4"/>
    </row>
    <row r="31" spans="1:26" ht="94.3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4"/>
      <c r="Q31" s="15"/>
      <c r="R31" s="4"/>
      <c r="S31" s="4"/>
      <c r="T31" s="4"/>
      <c r="U31" s="4"/>
      <c r="V31" s="4"/>
      <c r="W31" s="4"/>
      <c r="X31" s="4"/>
      <c r="Y31" s="4"/>
      <c r="Z31" s="4"/>
    </row>
    <row r="32" spans="1:26" ht="94.3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4"/>
      <c r="Q32" s="15"/>
      <c r="R32" s="4"/>
      <c r="S32" s="4"/>
      <c r="T32" s="4"/>
      <c r="U32" s="4"/>
      <c r="V32" s="4"/>
      <c r="W32" s="4"/>
      <c r="X32" s="4"/>
      <c r="Y32" s="4"/>
      <c r="Z32" s="4"/>
    </row>
    <row r="33" spans="1:26" ht="94.3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4"/>
      <c r="Q33" s="15"/>
      <c r="R33" s="4"/>
      <c r="S33" s="4"/>
      <c r="T33" s="4"/>
      <c r="U33" s="4"/>
      <c r="V33" s="4"/>
      <c r="W33" s="4"/>
      <c r="X33" s="4"/>
      <c r="Y33" s="4"/>
      <c r="Z33" s="4"/>
    </row>
    <row r="34" spans="1:26" ht="94.3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4"/>
      <c r="Q34" s="15"/>
      <c r="R34" s="4"/>
      <c r="S34" s="4"/>
      <c r="T34" s="4"/>
      <c r="U34" s="4"/>
      <c r="V34" s="4"/>
      <c r="W34" s="4"/>
      <c r="X34" s="4"/>
      <c r="Y34" s="4"/>
      <c r="Z34" s="4"/>
    </row>
    <row r="35" spans="1:26" ht="94.3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4"/>
      <c r="Q35" s="15"/>
      <c r="R35" s="4"/>
      <c r="S35" s="4"/>
      <c r="T35" s="4"/>
      <c r="U35" s="4"/>
      <c r="V35" s="4"/>
      <c r="W35" s="4"/>
      <c r="X35" s="4"/>
      <c r="Y35" s="4"/>
      <c r="Z35" s="4"/>
    </row>
    <row r="36" spans="1:26" ht="94.35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4"/>
      <c r="Q36" s="15"/>
      <c r="R36" s="4"/>
      <c r="S36" s="4"/>
      <c r="T36" s="4"/>
      <c r="U36" s="4"/>
      <c r="V36" s="4"/>
      <c r="W36" s="4"/>
      <c r="X36" s="4"/>
      <c r="Y36" s="4"/>
      <c r="Z36" s="4"/>
    </row>
    <row r="37" spans="1:26" ht="94.35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4"/>
      <c r="Q37" s="15"/>
      <c r="R37" s="4"/>
      <c r="S37" s="4"/>
      <c r="T37" s="4"/>
      <c r="U37" s="4"/>
      <c r="V37" s="4"/>
      <c r="W37" s="4"/>
      <c r="X37" s="4"/>
      <c r="Y37" s="4"/>
      <c r="Z37" s="4"/>
    </row>
    <row r="38" spans="1:26" ht="94.35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4"/>
      <c r="Q38" s="15"/>
      <c r="R38" s="4"/>
      <c r="S38" s="4"/>
      <c r="T38" s="4"/>
      <c r="U38" s="4"/>
      <c r="V38" s="4"/>
      <c r="W38" s="4"/>
      <c r="X38" s="4"/>
      <c r="Y38" s="4"/>
      <c r="Z38" s="4"/>
    </row>
    <row r="39" spans="1:26" ht="94.3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4"/>
      <c r="Q39" s="15"/>
      <c r="R39" s="4"/>
      <c r="S39" s="4"/>
      <c r="T39" s="4"/>
      <c r="U39" s="4"/>
      <c r="V39" s="4"/>
      <c r="W39" s="4"/>
      <c r="X39" s="4"/>
      <c r="Y39" s="4"/>
      <c r="Z39" s="4"/>
    </row>
    <row r="40" spans="1:26" ht="94.3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4"/>
      <c r="Q40" s="15"/>
      <c r="R40" s="4"/>
      <c r="S40" s="4"/>
      <c r="T40" s="4"/>
      <c r="U40" s="4"/>
      <c r="V40" s="4"/>
      <c r="W40" s="4"/>
      <c r="X40" s="4"/>
      <c r="Y40" s="4"/>
      <c r="Z40" s="4"/>
    </row>
    <row r="41" spans="1:26" ht="94.3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4"/>
      <c r="Q41" s="15"/>
      <c r="R41" s="4"/>
      <c r="S41" s="4"/>
      <c r="T41" s="4"/>
      <c r="U41" s="4"/>
      <c r="V41" s="4"/>
      <c r="W41" s="4"/>
      <c r="X41" s="4"/>
      <c r="Y41" s="4"/>
      <c r="Z41" s="4"/>
    </row>
    <row r="42" spans="1:26" ht="94.3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4"/>
      <c r="Q42" s="15"/>
      <c r="R42" s="4"/>
      <c r="S42" s="4"/>
      <c r="T42" s="4"/>
      <c r="U42" s="4"/>
      <c r="V42" s="4"/>
      <c r="W42" s="4"/>
      <c r="X42" s="4"/>
      <c r="Y42" s="4"/>
      <c r="Z42" s="4"/>
    </row>
    <row r="43" spans="1:26" ht="94.35" customHeight="1" x14ac:dyDescent="0.2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4"/>
      <c r="Q43" s="15"/>
      <c r="R43" s="4"/>
      <c r="S43" s="4"/>
      <c r="T43" s="4"/>
      <c r="U43" s="4"/>
      <c r="V43" s="4"/>
      <c r="W43" s="4"/>
      <c r="X43" s="4"/>
      <c r="Y43" s="4"/>
      <c r="Z43" s="4"/>
    </row>
    <row r="44" spans="1:26" ht="94.35" customHeight="1" x14ac:dyDescent="0.2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4"/>
      <c r="Q44" s="15"/>
      <c r="R44" s="4"/>
      <c r="S44" s="4"/>
      <c r="T44" s="4"/>
      <c r="U44" s="4"/>
      <c r="V44" s="4"/>
      <c r="W44" s="4"/>
      <c r="X44" s="4"/>
      <c r="Y44" s="4"/>
      <c r="Z44" s="4"/>
    </row>
    <row r="45" spans="1:26" ht="94.35" customHeight="1" x14ac:dyDescent="0.2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4"/>
      <c r="Q45" s="15"/>
      <c r="R45" s="4"/>
      <c r="S45" s="4"/>
      <c r="T45" s="4"/>
      <c r="U45" s="4"/>
      <c r="V45" s="4"/>
      <c r="W45" s="4"/>
      <c r="X45" s="4"/>
      <c r="Y45" s="4"/>
      <c r="Z45" s="4"/>
    </row>
    <row r="46" spans="1:26" ht="94.35" customHeight="1" x14ac:dyDescent="0.2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4"/>
      <c r="Q46" s="15"/>
      <c r="R46" s="4"/>
      <c r="S46" s="4"/>
      <c r="T46" s="4"/>
      <c r="U46" s="4"/>
      <c r="V46" s="4"/>
      <c r="W46" s="4"/>
      <c r="X46" s="4"/>
      <c r="Y46" s="4"/>
      <c r="Z46" s="4"/>
    </row>
    <row r="47" spans="1:26" ht="94.35" customHeight="1" x14ac:dyDescent="0.2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4"/>
      <c r="Q47" s="15"/>
      <c r="R47" s="4"/>
      <c r="S47" s="4"/>
      <c r="T47" s="4"/>
      <c r="U47" s="4"/>
      <c r="V47" s="4"/>
      <c r="W47" s="4"/>
      <c r="X47" s="4"/>
      <c r="Y47" s="4"/>
      <c r="Z47" s="4"/>
    </row>
    <row r="48" spans="1:26" ht="94.35" customHeight="1" x14ac:dyDescent="0.2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4"/>
      <c r="Q48" s="15"/>
      <c r="R48" s="4"/>
      <c r="S48" s="4"/>
      <c r="T48" s="4"/>
      <c r="U48" s="4"/>
      <c r="V48" s="4"/>
      <c r="W48" s="4"/>
      <c r="X48" s="4"/>
      <c r="Y48" s="4"/>
      <c r="Z48" s="4"/>
    </row>
    <row r="49" spans="1:26" ht="94.35" customHeight="1" x14ac:dyDescent="0.2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4"/>
      <c r="Q49" s="15"/>
      <c r="R49" s="4"/>
      <c r="S49" s="4"/>
      <c r="T49" s="4"/>
      <c r="U49" s="4"/>
      <c r="V49" s="4"/>
      <c r="W49" s="4"/>
      <c r="X49" s="4"/>
      <c r="Y49" s="4"/>
      <c r="Z49" s="4"/>
    </row>
    <row r="50" spans="1:26" ht="94.35" customHeight="1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4"/>
      <c r="Q50" s="15"/>
      <c r="R50" s="4"/>
      <c r="S50" s="4"/>
      <c r="T50" s="4"/>
      <c r="U50" s="4"/>
      <c r="V50" s="4"/>
      <c r="W50" s="4"/>
      <c r="X50" s="4"/>
      <c r="Y50" s="4"/>
      <c r="Z50" s="4"/>
    </row>
    <row r="51" spans="1:26" ht="94.35" customHeight="1" x14ac:dyDescent="0.2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4"/>
      <c r="Q51" s="15"/>
      <c r="R51" s="4"/>
      <c r="S51" s="4"/>
      <c r="T51" s="4"/>
      <c r="U51" s="4"/>
      <c r="V51" s="4"/>
      <c r="W51" s="4"/>
      <c r="X51" s="4"/>
      <c r="Y51" s="4"/>
      <c r="Z51" s="4"/>
    </row>
    <row r="52" spans="1:26" ht="94.35" customHeight="1" x14ac:dyDescent="0.2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4"/>
      <c r="Q52" s="15"/>
      <c r="R52" s="4"/>
      <c r="S52" s="4"/>
      <c r="T52" s="4"/>
      <c r="U52" s="4"/>
      <c r="V52" s="4"/>
      <c r="W52" s="4"/>
      <c r="X52" s="4"/>
      <c r="Y52" s="4"/>
      <c r="Z52" s="4"/>
    </row>
    <row r="53" spans="1:26" ht="94.35" customHeight="1" x14ac:dyDescent="0.2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4"/>
      <c r="Q53" s="15"/>
      <c r="R53" s="4"/>
      <c r="S53" s="4"/>
      <c r="T53" s="4"/>
      <c r="U53" s="4"/>
      <c r="V53" s="4"/>
      <c r="W53" s="4"/>
      <c r="X53" s="4"/>
      <c r="Y53" s="4"/>
      <c r="Z53" s="4"/>
    </row>
    <row r="54" spans="1:26" ht="94.35" customHeight="1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4"/>
      <c r="Q54" s="15"/>
      <c r="R54" s="4"/>
      <c r="S54" s="4"/>
      <c r="T54" s="4"/>
      <c r="U54" s="4"/>
      <c r="V54" s="4"/>
      <c r="W54" s="4"/>
      <c r="X54" s="4"/>
      <c r="Y54" s="4"/>
      <c r="Z54" s="4"/>
    </row>
    <row r="55" spans="1:26" ht="94.35" customHeight="1" x14ac:dyDescent="0.2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4"/>
      <c r="Q55" s="15"/>
      <c r="R55" s="4"/>
      <c r="S55" s="4"/>
      <c r="T55" s="4"/>
      <c r="U55" s="4"/>
      <c r="V55" s="4"/>
      <c r="W55" s="4"/>
      <c r="X55" s="4"/>
      <c r="Y55" s="4"/>
      <c r="Z55" s="4"/>
    </row>
    <row r="56" spans="1:26" ht="94.35" customHeight="1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4"/>
      <c r="Q56" s="15"/>
      <c r="R56" s="4"/>
      <c r="S56" s="4"/>
      <c r="T56" s="4"/>
      <c r="U56" s="4"/>
      <c r="V56" s="4"/>
      <c r="W56" s="4"/>
      <c r="X56" s="4"/>
      <c r="Y56" s="4"/>
      <c r="Z56" s="4"/>
    </row>
    <row r="57" spans="1:26" ht="94.35" customHeight="1" x14ac:dyDescent="0.2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4"/>
      <c r="Q57" s="15"/>
      <c r="R57" s="4"/>
      <c r="S57" s="4"/>
      <c r="T57" s="4"/>
      <c r="U57" s="4"/>
      <c r="V57" s="4"/>
      <c r="W57" s="4"/>
      <c r="X57" s="4"/>
      <c r="Y57" s="4"/>
      <c r="Z57" s="4"/>
    </row>
    <row r="58" spans="1:26" ht="94.35" customHeight="1" x14ac:dyDescent="0.2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4"/>
      <c r="Q58" s="15"/>
      <c r="R58" s="4"/>
      <c r="S58" s="4"/>
      <c r="T58" s="4"/>
      <c r="U58" s="4"/>
      <c r="V58" s="4"/>
      <c r="W58" s="4"/>
      <c r="X58" s="4"/>
      <c r="Y58" s="4"/>
      <c r="Z58" s="4"/>
    </row>
    <row r="59" spans="1:26" ht="94.35" customHeight="1" x14ac:dyDescent="0.2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4"/>
      <c r="Q59" s="15"/>
      <c r="R59" s="4"/>
      <c r="S59" s="4"/>
      <c r="T59" s="4"/>
      <c r="U59" s="4"/>
      <c r="V59" s="4"/>
      <c r="W59" s="4"/>
      <c r="X59" s="4"/>
      <c r="Y59" s="4"/>
      <c r="Z59" s="4"/>
    </row>
    <row r="60" spans="1:26" ht="94.35" customHeight="1" x14ac:dyDescent="0.2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4"/>
      <c r="Q60" s="15"/>
      <c r="R60" s="4"/>
      <c r="S60" s="4"/>
      <c r="T60" s="4"/>
      <c r="U60" s="4"/>
      <c r="V60" s="4"/>
      <c r="W60" s="4"/>
      <c r="X60" s="4"/>
      <c r="Y60" s="4"/>
      <c r="Z60" s="4"/>
    </row>
    <row r="61" spans="1:26" ht="94.35" customHeight="1" x14ac:dyDescent="0.2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4"/>
      <c r="Q61" s="15"/>
      <c r="R61" s="4"/>
      <c r="S61" s="4"/>
      <c r="T61" s="4"/>
      <c r="U61" s="4"/>
      <c r="V61" s="4"/>
      <c r="W61" s="4"/>
      <c r="X61" s="4"/>
      <c r="Y61" s="4"/>
      <c r="Z61" s="4"/>
    </row>
    <row r="62" spans="1:26" ht="94.35" customHeight="1" x14ac:dyDescent="0.2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4"/>
      <c r="Q62" s="15"/>
      <c r="R62" s="4"/>
      <c r="S62" s="4"/>
      <c r="T62" s="4"/>
      <c r="U62" s="4"/>
      <c r="V62" s="4"/>
      <c r="W62" s="4"/>
      <c r="X62" s="4"/>
      <c r="Y62" s="4"/>
      <c r="Z62" s="4"/>
    </row>
    <row r="63" spans="1:26" ht="94.35" customHeight="1" x14ac:dyDescent="0.2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4"/>
      <c r="Q63" s="15"/>
      <c r="R63" s="4"/>
      <c r="S63" s="4"/>
      <c r="T63" s="4"/>
      <c r="U63" s="4"/>
      <c r="V63" s="4"/>
      <c r="W63" s="4"/>
      <c r="X63" s="4"/>
      <c r="Y63" s="4"/>
      <c r="Z63" s="4"/>
    </row>
    <row r="64" spans="1:26" ht="94.35" customHeight="1" x14ac:dyDescent="0.2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4"/>
      <c r="Q64" s="15"/>
      <c r="R64" s="4"/>
      <c r="S64" s="4"/>
      <c r="T64" s="4"/>
      <c r="U64" s="4"/>
      <c r="V64" s="4"/>
      <c r="W64" s="4"/>
      <c r="X64" s="4"/>
      <c r="Y64" s="4"/>
      <c r="Z64" s="4"/>
    </row>
    <row r="65" spans="1:26" ht="94.35" customHeight="1" x14ac:dyDescent="0.2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4"/>
      <c r="Q65" s="15"/>
      <c r="R65" s="4"/>
      <c r="S65" s="4"/>
      <c r="T65" s="4"/>
      <c r="U65" s="4"/>
      <c r="V65" s="4"/>
      <c r="W65" s="4"/>
      <c r="X65" s="4"/>
      <c r="Y65" s="4"/>
      <c r="Z65" s="4"/>
    </row>
    <row r="66" spans="1:26" ht="94.35" customHeight="1" x14ac:dyDescent="0.2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4"/>
      <c r="Q66" s="15"/>
      <c r="R66" s="4"/>
      <c r="S66" s="4"/>
      <c r="T66" s="4"/>
      <c r="U66" s="4"/>
      <c r="V66" s="4"/>
      <c r="W66" s="4"/>
      <c r="X66" s="4"/>
      <c r="Y66" s="4"/>
      <c r="Z66" s="4"/>
    </row>
    <row r="67" spans="1:26" ht="94.35" customHeight="1" x14ac:dyDescent="0.2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4"/>
      <c r="Q67" s="15"/>
      <c r="R67" s="4"/>
      <c r="S67" s="4"/>
      <c r="T67" s="4"/>
      <c r="U67" s="4"/>
      <c r="V67" s="4"/>
      <c r="W67" s="4"/>
      <c r="X67" s="4"/>
      <c r="Y67" s="4"/>
      <c r="Z67" s="4"/>
    </row>
    <row r="68" spans="1:26" ht="94.35" customHeight="1" x14ac:dyDescent="0.2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4"/>
      <c r="Q68" s="15"/>
      <c r="R68" s="4"/>
      <c r="S68" s="4"/>
      <c r="T68" s="4"/>
      <c r="U68" s="4"/>
      <c r="V68" s="4"/>
      <c r="W68" s="4"/>
      <c r="X68" s="4"/>
      <c r="Y68" s="4"/>
      <c r="Z68" s="4"/>
    </row>
    <row r="69" spans="1:26" ht="94.35" customHeight="1" x14ac:dyDescent="0.2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4"/>
      <c r="Q69" s="15"/>
      <c r="R69" s="4"/>
      <c r="S69" s="4"/>
      <c r="T69" s="4"/>
      <c r="U69" s="4"/>
      <c r="V69" s="4"/>
      <c r="W69" s="4"/>
      <c r="X69" s="4"/>
      <c r="Y69" s="4"/>
      <c r="Z69" s="4"/>
    </row>
    <row r="70" spans="1:26" ht="94.35" customHeight="1" x14ac:dyDescent="0.2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4"/>
      <c r="Q70" s="15"/>
      <c r="R70" s="4"/>
      <c r="S70" s="4"/>
      <c r="T70" s="4"/>
      <c r="U70" s="4"/>
      <c r="V70" s="4"/>
      <c r="W70" s="4"/>
      <c r="X70" s="4"/>
      <c r="Y70" s="4"/>
      <c r="Z70" s="4"/>
    </row>
    <row r="71" spans="1:26" ht="94.35" customHeight="1" x14ac:dyDescent="0.2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4"/>
      <c r="Q71" s="15"/>
      <c r="R71" s="4"/>
      <c r="S71" s="4"/>
      <c r="T71" s="4"/>
      <c r="U71" s="4"/>
      <c r="V71" s="4"/>
      <c r="W71" s="4"/>
      <c r="X71" s="4"/>
      <c r="Y71" s="4"/>
      <c r="Z71" s="4"/>
    </row>
    <row r="72" spans="1:26" ht="94.35" customHeight="1" x14ac:dyDescent="0.2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4"/>
      <c r="Q72" s="15"/>
      <c r="R72" s="4"/>
      <c r="S72" s="4"/>
      <c r="T72" s="4"/>
      <c r="U72" s="4"/>
      <c r="V72" s="4"/>
      <c r="W72" s="4"/>
      <c r="X72" s="4"/>
      <c r="Y72" s="4"/>
      <c r="Z72" s="4"/>
    </row>
    <row r="73" spans="1:26" ht="94.35" customHeight="1" x14ac:dyDescent="0.2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4"/>
      <c r="Q73" s="15"/>
      <c r="R73" s="4"/>
      <c r="S73" s="4"/>
      <c r="T73" s="4"/>
      <c r="U73" s="4"/>
      <c r="V73" s="4"/>
      <c r="W73" s="4"/>
      <c r="X73" s="4"/>
      <c r="Y73" s="4"/>
      <c r="Z73" s="4"/>
    </row>
    <row r="74" spans="1:26" ht="94.35" customHeight="1" x14ac:dyDescent="0.2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4"/>
      <c r="Q74" s="15"/>
      <c r="R74" s="4"/>
      <c r="S74" s="4"/>
      <c r="T74" s="4"/>
      <c r="U74" s="4"/>
      <c r="V74" s="4"/>
      <c r="W74" s="4"/>
      <c r="X74" s="4"/>
      <c r="Y74" s="4"/>
      <c r="Z74" s="4"/>
    </row>
    <row r="75" spans="1:26" ht="94.35" customHeight="1" x14ac:dyDescent="0.2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4"/>
      <c r="Q75" s="15"/>
      <c r="R75" s="4"/>
      <c r="S75" s="4"/>
      <c r="T75" s="4"/>
      <c r="U75" s="4"/>
      <c r="V75" s="4"/>
      <c r="W75" s="4"/>
      <c r="X75" s="4"/>
      <c r="Y75" s="4"/>
      <c r="Z75" s="4"/>
    </row>
    <row r="76" spans="1:26" ht="94.35" customHeight="1" x14ac:dyDescent="0.2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4"/>
      <c r="Q76" s="15"/>
      <c r="R76" s="4"/>
      <c r="S76" s="4"/>
      <c r="T76" s="4"/>
      <c r="U76" s="4"/>
      <c r="V76" s="4"/>
      <c r="W76" s="4"/>
      <c r="X76" s="4"/>
      <c r="Y76" s="4"/>
      <c r="Z76" s="4"/>
    </row>
    <row r="77" spans="1:26" ht="94.35" customHeight="1" x14ac:dyDescent="0.2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4"/>
      <c r="Q77" s="15"/>
      <c r="R77" s="4"/>
      <c r="S77" s="4"/>
      <c r="T77" s="4"/>
      <c r="U77" s="4"/>
      <c r="V77" s="4"/>
      <c r="W77" s="4"/>
      <c r="X77" s="4"/>
      <c r="Y77" s="4"/>
      <c r="Z77" s="4"/>
    </row>
    <row r="78" spans="1:26" ht="94.35" customHeight="1" x14ac:dyDescent="0.2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4"/>
      <c r="Q78" s="15"/>
      <c r="R78" s="4"/>
      <c r="S78" s="4"/>
      <c r="T78" s="4"/>
      <c r="U78" s="4"/>
      <c r="V78" s="4"/>
      <c r="W78" s="4"/>
      <c r="X78" s="4"/>
      <c r="Y78" s="4"/>
      <c r="Z78" s="4"/>
    </row>
    <row r="79" spans="1:26" ht="94.35" customHeight="1" x14ac:dyDescent="0.2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4"/>
      <c r="Q79" s="15"/>
      <c r="R79" s="4"/>
      <c r="S79" s="4"/>
      <c r="T79" s="4"/>
      <c r="U79" s="4"/>
      <c r="V79" s="4"/>
      <c r="W79" s="4"/>
      <c r="X79" s="4"/>
      <c r="Y79" s="4"/>
      <c r="Z79" s="4"/>
    </row>
    <row r="80" spans="1:26" ht="94.35" customHeight="1" x14ac:dyDescent="0.2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4"/>
      <c r="Q80" s="15"/>
      <c r="R80" s="4"/>
      <c r="S80" s="4"/>
      <c r="T80" s="4"/>
      <c r="U80" s="4"/>
      <c r="V80" s="4"/>
      <c r="W80" s="4"/>
      <c r="X80" s="4"/>
      <c r="Y80" s="4"/>
      <c r="Z80" s="4"/>
    </row>
    <row r="81" spans="1:26" ht="94.3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15"/>
      <c r="R81" s="4"/>
      <c r="S81" s="4"/>
      <c r="T81" s="4"/>
      <c r="U81" s="4"/>
      <c r="V81" s="4"/>
      <c r="W81" s="4"/>
      <c r="X81" s="4"/>
      <c r="Y81" s="4"/>
      <c r="Z81" s="4"/>
    </row>
    <row r="82" spans="1:26" ht="94.3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15"/>
      <c r="R82" s="4"/>
      <c r="S82" s="4"/>
      <c r="T82" s="4"/>
      <c r="U82" s="4"/>
      <c r="V82" s="4"/>
      <c r="W82" s="4"/>
      <c r="X82" s="4"/>
      <c r="Y82" s="4"/>
      <c r="Z82" s="4"/>
    </row>
    <row r="83" spans="1:26" ht="94.3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15"/>
      <c r="R83" s="4"/>
      <c r="S83" s="4"/>
      <c r="T83" s="4"/>
      <c r="U83" s="4"/>
      <c r="V83" s="4"/>
      <c r="W83" s="4"/>
      <c r="X83" s="4"/>
      <c r="Y83" s="4"/>
      <c r="Z83" s="4"/>
    </row>
    <row r="84" spans="1:26" ht="94.3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15"/>
      <c r="R84" s="4"/>
      <c r="S84" s="4"/>
      <c r="T84" s="4"/>
      <c r="U84" s="4"/>
      <c r="V84" s="4"/>
      <c r="W84" s="4"/>
      <c r="X84" s="4"/>
      <c r="Y84" s="4"/>
      <c r="Z84" s="4"/>
    </row>
    <row r="85" spans="1:26" ht="94.3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15"/>
      <c r="R85" s="4"/>
      <c r="S85" s="4"/>
      <c r="T85" s="4"/>
      <c r="U85" s="4"/>
      <c r="V85" s="4"/>
      <c r="W85" s="4"/>
      <c r="X85" s="4"/>
      <c r="Y85" s="4"/>
      <c r="Z85" s="4"/>
    </row>
    <row r="86" spans="1:26" ht="94.3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15"/>
      <c r="R86" s="4"/>
      <c r="S86" s="4"/>
      <c r="T86" s="4"/>
      <c r="U86" s="4"/>
      <c r="V86" s="4"/>
      <c r="W86" s="4"/>
      <c r="X86" s="4"/>
      <c r="Y86" s="4"/>
      <c r="Z86" s="4"/>
    </row>
    <row r="87" spans="1:26" ht="94.3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15"/>
      <c r="R87" s="4"/>
      <c r="S87" s="4"/>
      <c r="T87" s="4"/>
      <c r="U87" s="4"/>
      <c r="V87" s="4"/>
      <c r="W87" s="4"/>
      <c r="X87" s="4"/>
      <c r="Y87" s="4"/>
      <c r="Z87" s="4"/>
    </row>
    <row r="88" spans="1:26" ht="94.3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15"/>
      <c r="R88" s="4"/>
      <c r="S88" s="4"/>
      <c r="T88" s="4"/>
      <c r="U88" s="4"/>
      <c r="V88" s="4"/>
      <c r="W88" s="4"/>
      <c r="X88" s="4"/>
      <c r="Y88" s="4"/>
      <c r="Z88" s="4"/>
    </row>
    <row r="89" spans="1:26" ht="94.3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15"/>
      <c r="R89" s="4"/>
      <c r="S89" s="4"/>
      <c r="T89" s="4"/>
      <c r="U89" s="4"/>
      <c r="V89" s="4"/>
      <c r="W89" s="4"/>
      <c r="X89" s="4"/>
      <c r="Y89" s="4"/>
      <c r="Z89" s="4"/>
    </row>
    <row r="90" spans="1:26" ht="94.3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15"/>
      <c r="R90" s="4"/>
      <c r="S90" s="4"/>
      <c r="T90" s="4"/>
      <c r="U90" s="4"/>
      <c r="V90" s="4"/>
      <c r="W90" s="4"/>
      <c r="X90" s="4"/>
      <c r="Y90" s="4"/>
      <c r="Z90" s="4"/>
    </row>
    <row r="91" spans="1:26" ht="94.3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15"/>
      <c r="R91" s="4"/>
      <c r="S91" s="4"/>
      <c r="T91" s="4"/>
      <c r="U91" s="4"/>
      <c r="V91" s="4"/>
      <c r="W91" s="4"/>
      <c r="X91" s="4"/>
      <c r="Y91" s="4"/>
      <c r="Z91" s="4"/>
    </row>
    <row r="92" spans="1:26" ht="94.3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15"/>
      <c r="R92" s="4"/>
      <c r="S92" s="4"/>
      <c r="T92" s="4"/>
      <c r="U92" s="4"/>
      <c r="V92" s="4"/>
      <c r="W92" s="4"/>
      <c r="X92" s="4"/>
      <c r="Y92" s="4"/>
      <c r="Z92" s="4"/>
    </row>
    <row r="93" spans="1:26" ht="94.3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15"/>
      <c r="R93" s="4"/>
      <c r="S93" s="4"/>
      <c r="T93" s="4"/>
      <c r="U93" s="4"/>
      <c r="V93" s="4"/>
      <c r="W93" s="4"/>
      <c r="X93" s="4"/>
      <c r="Y93" s="4"/>
      <c r="Z93" s="4"/>
    </row>
    <row r="94" spans="1:26" ht="94.3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15"/>
      <c r="R94" s="4"/>
      <c r="S94" s="4"/>
      <c r="T94" s="4"/>
      <c r="U94" s="4"/>
      <c r="V94" s="4"/>
      <c r="W94" s="4"/>
      <c r="X94" s="4"/>
      <c r="Y94" s="4"/>
      <c r="Z94" s="4"/>
    </row>
    <row r="95" spans="1:26" ht="94.3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15"/>
      <c r="R95" s="4"/>
      <c r="S95" s="4"/>
      <c r="T95" s="4"/>
      <c r="U95" s="4"/>
      <c r="V95" s="4"/>
      <c r="W95" s="4"/>
      <c r="X95" s="4"/>
      <c r="Y95" s="4"/>
      <c r="Z95" s="4"/>
    </row>
    <row r="96" spans="1:26" ht="94.3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15"/>
      <c r="R96" s="4"/>
      <c r="S96" s="4"/>
      <c r="T96" s="4"/>
      <c r="U96" s="4"/>
      <c r="V96" s="4"/>
      <c r="W96" s="4"/>
      <c r="X96" s="4"/>
      <c r="Y96" s="4"/>
      <c r="Z96" s="4"/>
    </row>
    <row r="97" spans="1:26" ht="94.3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15"/>
      <c r="R97" s="4"/>
      <c r="S97" s="4"/>
      <c r="T97" s="4"/>
      <c r="U97" s="4"/>
      <c r="V97" s="4"/>
      <c r="W97" s="4"/>
      <c r="X97" s="4"/>
      <c r="Y97" s="4"/>
      <c r="Z97" s="4"/>
    </row>
    <row r="98" spans="1:26" ht="94.3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15"/>
      <c r="R98" s="4"/>
      <c r="S98" s="4"/>
      <c r="T98" s="4"/>
      <c r="U98" s="4"/>
      <c r="V98" s="4"/>
      <c r="W98" s="4"/>
      <c r="X98" s="4"/>
      <c r="Y98" s="4"/>
      <c r="Z98" s="4"/>
    </row>
    <row r="99" spans="1:26" ht="94.3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15"/>
      <c r="R99" s="4"/>
      <c r="S99" s="4"/>
      <c r="T99" s="4"/>
      <c r="U99" s="4"/>
      <c r="V99" s="4"/>
      <c r="W99" s="4"/>
      <c r="X99" s="4"/>
      <c r="Y99" s="4"/>
      <c r="Z99" s="4"/>
    </row>
    <row r="100" spans="1:26" ht="94.3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15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0.199999999999999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15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0.199999999999999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15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0.199999999999999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15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0.199999999999999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15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0.199999999999999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15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0.199999999999999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15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0.199999999999999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15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0.199999999999999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15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0.199999999999999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15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0.199999999999999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15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0.199999999999999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15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0.199999999999999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15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0.199999999999999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15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0.199999999999999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15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0.199999999999999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15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0.199999999999999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15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0.199999999999999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15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0.199999999999999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15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0.199999999999999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15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0.199999999999999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15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0.199999999999999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15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0.199999999999999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15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0.199999999999999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15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0.199999999999999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15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0.199999999999999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15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0.199999999999999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15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0.199999999999999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15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0.199999999999999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15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0.199999999999999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15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0.199999999999999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15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0.199999999999999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15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0.199999999999999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15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0.199999999999999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15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0.199999999999999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15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0.199999999999999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15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0.199999999999999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15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0.199999999999999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15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0.199999999999999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15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0.199999999999999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15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0.199999999999999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15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0.199999999999999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15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0.199999999999999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15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0.199999999999999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15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0.199999999999999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15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0.199999999999999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15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0.199999999999999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15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0.199999999999999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15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0.199999999999999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15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0.199999999999999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15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0.199999999999999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15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0.199999999999999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15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0.199999999999999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15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0.199999999999999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15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0.199999999999999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15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0.199999999999999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15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0.199999999999999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15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0.199999999999999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15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0.199999999999999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15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0.199999999999999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15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0.199999999999999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15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0.199999999999999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15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0.199999999999999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15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0.199999999999999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15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0.199999999999999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15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0.199999999999999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15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0.199999999999999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15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0.199999999999999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15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0.199999999999999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15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0.199999999999999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15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0.199999999999999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15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0.199999999999999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15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0.199999999999999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15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0.199999999999999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15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0.199999999999999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15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0.199999999999999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15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0.199999999999999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15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0.199999999999999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15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0.199999999999999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15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0.199999999999999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15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0.199999999999999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15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0.199999999999999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15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0.199999999999999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15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0.199999999999999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15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0.199999999999999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15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0.199999999999999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15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0.199999999999999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15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0.199999999999999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15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0.199999999999999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15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0.199999999999999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15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0.199999999999999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15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0.199999999999999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15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0.199999999999999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15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0.199999999999999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15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0.199999999999999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15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0.199999999999999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15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0.199999999999999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15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0.199999999999999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15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0.199999999999999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15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0.199999999999999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15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0.199999999999999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15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0.199999999999999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15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0.199999999999999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15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0.199999999999999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15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0.199999999999999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15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0.199999999999999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15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0.199999999999999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15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0.199999999999999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15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0.199999999999999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15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0.199999999999999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15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0.199999999999999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15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0.199999999999999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15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0.199999999999999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15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0.199999999999999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15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0.199999999999999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15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0.199999999999999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15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0.199999999999999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15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0.199999999999999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15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0.199999999999999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15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0.199999999999999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15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0.199999999999999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15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0.199999999999999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15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0.199999999999999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15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0.199999999999999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15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0.199999999999999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15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0.199999999999999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15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0.199999999999999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15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0.199999999999999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15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0.199999999999999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15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0.199999999999999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15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0.199999999999999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15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0.199999999999999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15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0.199999999999999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15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0.199999999999999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15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0.199999999999999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15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0.199999999999999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15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0.199999999999999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15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0.199999999999999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15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0.199999999999999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15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0.199999999999999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15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0.199999999999999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15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0.199999999999999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15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0.199999999999999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15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0.199999999999999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15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0.199999999999999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15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0.199999999999999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15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0.199999999999999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15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0.199999999999999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15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0.199999999999999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15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0.199999999999999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15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0.199999999999999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15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0.199999999999999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15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0.199999999999999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15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0.199999999999999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15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0.199999999999999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15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0.199999999999999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15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0.199999999999999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15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0.199999999999999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15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0.199999999999999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15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0.199999999999999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15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0.199999999999999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15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0.199999999999999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15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0.199999999999999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15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0.199999999999999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15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0.199999999999999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15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0.199999999999999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15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0.199999999999999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15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0.199999999999999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15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0.199999999999999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15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0.199999999999999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15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0.199999999999999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15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0.199999999999999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15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0.199999999999999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15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0.199999999999999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15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0.199999999999999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15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0.199999999999999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15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0.199999999999999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15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0.199999999999999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15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0.199999999999999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15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0.199999999999999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15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0.199999999999999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15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0.199999999999999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15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0.199999999999999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15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0.199999999999999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15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0.199999999999999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15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0.199999999999999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15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0.199999999999999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15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0.199999999999999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15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0.199999999999999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15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0.199999999999999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15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0.199999999999999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15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0.199999999999999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15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0.199999999999999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15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0.199999999999999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15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0.199999999999999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15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0.199999999999999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15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0.199999999999999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15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0.199999999999999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15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0.199999999999999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15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0.199999999999999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15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0.199999999999999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15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0.199999999999999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15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0.199999999999999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15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0.199999999999999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15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0.199999999999999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15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0.199999999999999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15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0.199999999999999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15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0.199999999999999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15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0.199999999999999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15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0.199999999999999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15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0.199999999999999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15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0.199999999999999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15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0.199999999999999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15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0.199999999999999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15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0.199999999999999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15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0.199999999999999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15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0.199999999999999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15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0.199999999999999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15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0.199999999999999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15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0.199999999999999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15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0.199999999999999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15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0.199999999999999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15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0.199999999999999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15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0.199999999999999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15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0.199999999999999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15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0.199999999999999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15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0.199999999999999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15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0.199999999999999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15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0.199999999999999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15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0.199999999999999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15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0.199999999999999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15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0.199999999999999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15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0.199999999999999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15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0.199999999999999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15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0.199999999999999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15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0.199999999999999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15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0.199999999999999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15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0.199999999999999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15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0.199999999999999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15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0.199999999999999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15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0.199999999999999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15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0.199999999999999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15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0.199999999999999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15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0.199999999999999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15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0.199999999999999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15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0.199999999999999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15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0.199999999999999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15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0.199999999999999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15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0.199999999999999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15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0.199999999999999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15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0.199999999999999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15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0.199999999999999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15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0.199999999999999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15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0.199999999999999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15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0.199999999999999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15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0.199999999999999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15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0.199999999999999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15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0.199999999999999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15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0.199999999999999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15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0.199999999999999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15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0.199999999999999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15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0.199999999999999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15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0.199999999999999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15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0.199999999999999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15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0.199999999999999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15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0.199999999999999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15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0.199999999999999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15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0.199999999999999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15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0.199999999999999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15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0.199999999999999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15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0.199999999999999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15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0.199999999999999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15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0.199999999999999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15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0.199999999999999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15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0.199999999999999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15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0.199999999999999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15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0.199999999999999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15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0.199999999999999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15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0.199999999999999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15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0.199999999999999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15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0.199999999999999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15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0.199999999999999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15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0.199999999999999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15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0.199999999999999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15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0.199999999999999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15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0.199999999999999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15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0.199999999999999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15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0.199999999999999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15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0.199999999999999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15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0.199999999999999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15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0.199999999999999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15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0.199999999999999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15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0.199999999999999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15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0.199999999999999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15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0.199999999999999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15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0.199999999999999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15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0.199999999999999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15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0.199999999999999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15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0.199999999999999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15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0.199999999999999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15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0.199999999999999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15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0.199999999999999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15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0.199999999999999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15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0.199999999999999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15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0.199999999999999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15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0.199999999999999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15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0.199999999999999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15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0.199999999999999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15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0.199999999999999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15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0.199999999999999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15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0.199999999999999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15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0.199999999999999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15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0.199999999999999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15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0.199999999999999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15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0.199999999999999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15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0.199999999999999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15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0.199999999999999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15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0.199999999999999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15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0.199999999999999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15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0.199999999999999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15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0.199999999999999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15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0.199999999999999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15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0.199999999999999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15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0.199999999999999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15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0.199999999999999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15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0.199999999999999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15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0.199999999999999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15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0.199999999999999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15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0.199999999999999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15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0.199999999999999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15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0.199999999999999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15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0.199999999999999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15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0.199999999999999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15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0.199999999999999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15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0.199999999999999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15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0.199999999999999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15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0.199999999999999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15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0.199999999999999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15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0.199999999999999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15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0.199999999999999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15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0.199999999999999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15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0.199999999999999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15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0.199999999999999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15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0.199999999999999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15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0.199999999999999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15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0.199999999999999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15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0.199999999999999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15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0.199999999999999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15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0.199999999999999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15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0.199999999999999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15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0.199999999999999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15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0.199999999999999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15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0.199999999999999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15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0.199999999999999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15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0.199999999999999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15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0.199999999999999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15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0.199999999999999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15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0.199999999999999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15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0.199999999999999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15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0.199999999999999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15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0.199999999999999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15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0.199999999999999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15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0.199999999999999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15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0.199999999999999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15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0.199999999999999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15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0.199999999999999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15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0.199999999999999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15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0.199999999999999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15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0.199999999999999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15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0.199999999999999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15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0.199999999999999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15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0.199999999999999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15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0.199999999999999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15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0.199999999999999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15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0.199999999999999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15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0.199999999999999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15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0.199999999999999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15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0.199999999999999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15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0.199999999999999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15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0.199999999999999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15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0.199999999999999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15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0.199999999999999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15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0.199999999999999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15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0.199999999999999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15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0.199999999999999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15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0.199999999999999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15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0.199999999999999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15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0.199999999999999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15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0.199999999999999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15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0.199999999999999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15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0.199999999999999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15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0.199999999999999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15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0.199999999999999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15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0.199999999999999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15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0.199999999999999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15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0.199999999999999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15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0.199999999999999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15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0.199999999999999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15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0.199999999999999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15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0.199999999999999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15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0.199999999999999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15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0.199999999999999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15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0.199999999999999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15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0.199999999999999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15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0.199999999999999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15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0.199999999999999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15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0.199999999999999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15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0.199999999999999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15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0.199999999999999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15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0.199999999999999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15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0.199999999999999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15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0.199999999999999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15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0.199999999999999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15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0.199999999999999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15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0.199999999999999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15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0.199999999999999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15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0.199999999999999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15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0.199999999999999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15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0.199999999999999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15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0.199999999999999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15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0.199999999999999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15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0.199999999999999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15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0.199999999999999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15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0.199999999999999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15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0.199999999999999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15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0.199999999999999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15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0.199999999999999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15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0.199999999999999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15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0.199999999999999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15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0.199999999999999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15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0.199999999999999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15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0.199999999999999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15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0.199999999999999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15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0.199999999999999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15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0.199999999999999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15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0.199999999999999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15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0.199999999999999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15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0.199999999999999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15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0.199999999999999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15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0.199999999999999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15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0.199999999999999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15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0.199999999999999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15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0.199999999999999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15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0.199999999999999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15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0.199999999999999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15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0.199999999999999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15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0.199999999999999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15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0.199999999999999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15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0.199999999999999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15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0.199999999999999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15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0.199999999999999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15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0.199999999999999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15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0.199999999999999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15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0.199999999999999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15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0.199999999999999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15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0.199999999999999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15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0.199999999999999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15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0.199999999999999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15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0.199999999999999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15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0.199999999999999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15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0.199999999999999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15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0.199999999999999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15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0.199999999999999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15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0.199999999999999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15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0.199999999999999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15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0.199999999999999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15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0.199999999999999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15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0.199999999999999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15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0.199999999999999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15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0.199999999999999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15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0.199999999999999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15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0.199999999999999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15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0.199999999999999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15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0.199999999999999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15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0.199999999999999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15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0.199999999999999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15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0.199999999999999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15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0.199999999999999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15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0.199999999999999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15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0.199999999999999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15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0.199999999999999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15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0.199999999999999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15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0.199999999999999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15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0.199999999999999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15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0.199999999999999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15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0.199999999999999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15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0.199999999999999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15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0.199999999999999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15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0.199999999999999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15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0.199999999999999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15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0.199999999999999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15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0.199999999999999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15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0.199999999999999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15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0.199999999999999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15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0.199999999999999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15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0.199999999999999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15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0.199999999999999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15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0.199999999999999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15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0.199999999999999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15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0.199999999999999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15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0.199999999999999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15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0.199999999999999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15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0.199999999999999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15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0.199999999999999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15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0.199999999999999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15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0.199999999999999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15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0.199999999999999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15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0.199999999999999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15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0.199999999999999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15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0.199999999999999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15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0.199999999999999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15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0.199999999999999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15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0.199999999999999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15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0.199999999999999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15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0.199999999999999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15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0.199999999999999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15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0.199999999999999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15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0.199999999999999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15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0.199999999999999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15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0.199999999999999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15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0.199999999999999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15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0.199999999999999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15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0.199999999999999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15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0.199999999999999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15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0.199999999999999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15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0.199999999999999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15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0.199999999999999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15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0.199999999999999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15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0.199999999999999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15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0.199999999999999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15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0.199999999999999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15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0.199999999999999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15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0.199999999999999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15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0.199999999999999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15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0.199999999999999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15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0.199999999999999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15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0.199999999999999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15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0.199999999999999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15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0.199999999999999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15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0.199999999999999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15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0.199999999999999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15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0.199999999999999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15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0.199999999999999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15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0.199999999999999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15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0.199999999999999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15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0.199999999999999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15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0.199999999999999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15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0.199999999999999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15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0.199999999999999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15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0.199999999999999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15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0.199999999999999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15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0.199999999999999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15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0.199999999999999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15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0.199999999999999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15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0.199999999999999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15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0.199999999999999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15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0.199999999999999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15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0.199999999999999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15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0.199999999999999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15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0.199999999999999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15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0.199999999999999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15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0.199999999999999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15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0.199999999999999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15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0.199999999999999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15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0.199999999999999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15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0.199999999999999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15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0.199999999999999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15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0.199999999999999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15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0.199999999999999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15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0.199999999999999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15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0.199999999999999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15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0.199999999999999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15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0.199999999999999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15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0.199999999999999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15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0.199999999999999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15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0.199999999999999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15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0.199999999999999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15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0.199999999999999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15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0.199999999999999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15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0.199999999999999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15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0.199999999999999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15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0.199999999999999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15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0.199999999999999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15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0.199999999999999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15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0.199999999999999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15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0.199999999999999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15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0.199999999999999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15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0.199999999999999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15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0.199999999999999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15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0.199999999999999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15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0.199999999999999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15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0.199999999999999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15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0.199999999999999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15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0.199999999999999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15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0.199999999999999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15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0.199999999999999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15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0.199999999999999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15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0.199999999999999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15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0.199999999999999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15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0.199999999999999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15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0.199999999999999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15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0.199999999999999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15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0.199999999999999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15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0.199999999999999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15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0.199999999999999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15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0.199999999999999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15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0.199999999999999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15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0.199999999999999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15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0.199999999999999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15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0.199999999999999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15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0.199999999999999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15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0.199999999999999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15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0.199999999999999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15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0.199999999999999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15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0.199999999999999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15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0.199999999999999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15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0.199999999999999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15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0.199999999999999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15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0.199999999999999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15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0.199999999999999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15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0.199999999999999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15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0.199999999999999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15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0.199999999999999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15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0.199999999999999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15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0.199999999999999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15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0.199999999999999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15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0.199999999999999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15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0.199999999999999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15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0.199999999999999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15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0.199999999999999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15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0.199999999999999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15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0.199999999999999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15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0.199999999999999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15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0.199999999999999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15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0.199999999999999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15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0.199999999999999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15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0.199999999999999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15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0.199999999999999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15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0.199999999999999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15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0.199999999999999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15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0.199999999999999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15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0.199999999999999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15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0.199999999999999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15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0.199999999999999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15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0.199999999999999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15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0.199999999999999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15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0.199999999999999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15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0.199999999999999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15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0.199999999999999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15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0.199999999999999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15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0.199999999999999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15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0.199999999999999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15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0.199999999999999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15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0.199999999999999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15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0.199999999999999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15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0.199999999999999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15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0.199999999999999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15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0.199999999999999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15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0.199999999999999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15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0.199999999999999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15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0.199999999999999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15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0.199999999999999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15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0.199999999999999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15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0.199999999999999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15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0.199999999999999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15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0.199999999999999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15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0.199999999999999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15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0.199999999999999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15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0.199999999999999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15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0.199999999999999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15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0.199999999999999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15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0.199999999999999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15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0.199999999999999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15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0.199999999999999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15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0.199999999999999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15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0.199999999999999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15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0.199999999999999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15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0.199999999999999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15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0.199999999999999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15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0.199999999999999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15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0.199999999999999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15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0.199999999999999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15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0.199999999999999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15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0.199999999999999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15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0.199999999999999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15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0.199999999999999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15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0.199999999999999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15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0.199999999999999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15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0.199999999999999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15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0.199999999999999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15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0.199999999999999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15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0.199999999999999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15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0.199999999999999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15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0.199999999999999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15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0.199999999999999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15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0.199999999999999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15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0.199999999999999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15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0.199999999999999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15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0.199999999999999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15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0.199999999999999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15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0.199999999999999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15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0.199999999999999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15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0.199999999999999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15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0.199999999999999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15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0.199999999999999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15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0.199999999999999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15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0.199999999999999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15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0.199999999999999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15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0.199999999999999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15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0.199999999999999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15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0.199999999999999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15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0.199999999999999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15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0.199999999999999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15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0.199999999999999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15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0.199999999999999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15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0.199999999999999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15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0.199999999999999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15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0.199999999999999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15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0.199999999999999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15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0.199999999999999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15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0.199999999999999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15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0.199999999999999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15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0.199999999999999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15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0.199999999999999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15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0.199999999999999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15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0.199999999999999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15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0.199999999999999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15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0.199999999999999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15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0.199999999999999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15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0.199999999999999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15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0.199999999999999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15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0.199999999999999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15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0.199999999999999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15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0.199999999999999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15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0.199999999999999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15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0.199999999999999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15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0.199999999999999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15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0.199999999999999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15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0.199999999999999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15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0.199999999999999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15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0.199999999999999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15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0.199999999999999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15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0.199999999999999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15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0.199999999999999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15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0.199999999999999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15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0.199999999999999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15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0.199999999999999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15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0.199999999999999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15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0.199999999999999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15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0.199999999999999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15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0.199999999999999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15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0.199999999999999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15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0.199999999999999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15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0.199999999999999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15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0.199999999999999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15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0.199999999999999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15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0.199999999999999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15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0.199999999999999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15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0.199999999999999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15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0.199999999999999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15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0.199999999999999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15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0.199999999999999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15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0.199999999999999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15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0.199999999999999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15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0.199999999999999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15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0.199999999999999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15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0.199999999999999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15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0.199999999999999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15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0.199999999999999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15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0.199999999999999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15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0.199999999999999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15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0.199999999999999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15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0.199999999999999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15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0.199999999999999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15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0.199999999999999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15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0.199999999999999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15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0.199999999999999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15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0.199999999999999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15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0.199999999999999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15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0.199999999999999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15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0.199999999999999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15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0.199999999999999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15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0.199999999999999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15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0.199999999999999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15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0.199999999999999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15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0.199999999999999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15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0.199999999999999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15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0.199999999999999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15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0.199999999999999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15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0.199999999999999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15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0.199999999999999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15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0.199999999999999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15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0.199999999999999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15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0.199999999999999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15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0.199999999999999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15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0.199999999999999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15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0.199999999999999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15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0.199999999999999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15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0.199999999999999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15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0.199999999999999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15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0.199999999999999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15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0.199999999999999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15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0.199999999999999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15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0.199999999999999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15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0.199999999999999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15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0.199999999999999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15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0.199999999999999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15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0.199999999999999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15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0.199999999999999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15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0.199999999999999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15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0.199999999999999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15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0.199999999999999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15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0.199999999999999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15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0.199999999999999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15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0.199999999999999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15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0.199999999999999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15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0.199999999999999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15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0.199999999999999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15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0.199999999999999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15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0.199999999999999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15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0.199999999999999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15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0.199999999999999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15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0.199999999999999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15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0.199999999999999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15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0.199999999999999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15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0.199999999999999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15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0.199999999999999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15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0.199999999999999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15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0.199999999999999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15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0.199999999999999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15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0.199999999999999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15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0.199999999999999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15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0.199999999999999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15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0.199999999999999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15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0.199999999999999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15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0.199999999999999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15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0.199999999999999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15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0.199999999999999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15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0.199999999999999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15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0.199999999999999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15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0.199999999999999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15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0.199999999999999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15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0.199999999999999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15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0.199999999999999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15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0.199999999999999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15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0.199999999999999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15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0.199999999999999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15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0.199999999999999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15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0.199999999999999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15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0.199999999999999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15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0.199999999999999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15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0.199999999999999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15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0.199999999999999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15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0.199999999999999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15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0.199999999999999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15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0.199999999999999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15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0.199999999999999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15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0.199999999999999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15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0.199999999999999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15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0.199999999999999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15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0.199999999999999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15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0.199999999999999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15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0.199999999999999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15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0.199999999999999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15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0.199999999999999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15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0.199999999999999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15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0.199999999999999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15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0.199999999999999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15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0.199999999999999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15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0.199999999999999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15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0.199999999999999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15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0.199999999999999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15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0.199999999999999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15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0.199999999999999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15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0.199999999999999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15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0.199999999999999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15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0.199999999999999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15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0.199999999999999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15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0.199999999999999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15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0.199999999999999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15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0.199999999999999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15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0.199999999999999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15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0.199999999999999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15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0.199999999999999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15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0.199999999999999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15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0.199999999999999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15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0.199999999999999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15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0.199999999999999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15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0.199999999999999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15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0.199999999999999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15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0.199999999999999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15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0.199999999999999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15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0.199999999999999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15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0.199999999999999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15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0.199999999999999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15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0.199999999999999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15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0.199999999999999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15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0.199999999999999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15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0.199999999999999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15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0.199999999999999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15"/>
      <c r="R999" s="4"/>
      <c r="S999" s="4"/>
      <c r="T999" s="4"/>
      <c r="U999" s="4"/>
      <c r="V999" s="4"/>
      <c r="W999" s="4"/>
      <c r="X999" s="4"/>
      <c r="Y999" s="4"/>
      <c r="Z999" s="4"/>
    </row>
  </sheetData>
  <mergeCells count="4">
    <mergeCell ref="B1:E1"/>
    <mergeCell ref="A2:A3"/>
    <mergeCell ref="B2:E3"/>
    <mergeCell ref="B4:E4"/>
  </mergeCells>
  <dataValidations count="1">
    <dataValidation type="list" allowBlank="1" showErrorMessage="1" sqref="G2:G3 J2:J3 M2:M3 G9 J9 M9 F12:F19 I12:I19 L12:L19 G20:G146 J20:J146 M20:M146" xr:uid="{00000000-0002-0000-0800-000000000000}">
      <formula1>$R$2:$R$5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993"/>
  <sheetViews>
    <sheetView workbookViewId="0"/>
  </sheetViews>
  <sheetFormatPr defaultColWidth="12.6640625" defaultRowHeight="13.2" x14ac:dyDescent="0.2"/>
  <cols>
    <col min="1" max="1" width="14" customWidth="1"/>
    <col min="2" max="2" width="34" customWidth="1"/>
    <col min="3" max="3" width="58" customWidth="1"/>
    <col min="4" max="4" width="48" customWidth="1"/>
    <col min="5" max="5" width="38" customWidth="1"/>
    <col min="6" max="6" width="9.33203125" customWidth="1"/>
    <col min="7" max="7" width="13" customWidth="1"/>
    <col min="8" max="8" width="7" customWidth="1"/>
    <col min="9" max="9" width="9.33203125" customWidth="1"/>
    <col min="10" max="10" width="13" customWidth="1"/>
    <col min="11" max="11" width="7" customWidth="1"/>
    <col min="12" max="12" width="9.33203125" customWidth="1"/>
    <col min="13" max="13" width="13" customWidth="1"/>
    <col min="14" max="14" width="7" customWidth="1"/>
    <col min="15" max="15" width="28.6640625" customWidth="1"/>
    <col min="16" max="16" width="10.109375" customWidth="1"/>
    <col min="17" max="17" width="8.109375" customWidth="1"/>
    <col min="18" max="18" width="7.6640625" hidden="1" customWidth="1"/>
    <col min="19" max="26" width="9" customWidth="1"/>
  </cols>
  <sheetData>
    <row r="1" spans="1:26" ht="10.199999999999999" customHeight="1" x14ac:dyDescent="0.25">
      <c r="A1" s="53"/>
      <c r="B1" s="154"/>
      <c r="C1" s="154"/>
      <c r="D1" s="154"/>
      <c r="E1" s="154"/>
      <c r="F1" s="18"/>
      <c r="G1" s="18"/>
      <c r="H1" s="18"/>
      <c r="I1" s="18"/>
      <c r="J1" s="18"/>
      <c r="K1" s="18"/>
      <c r="L1" s="18"/>
      <c r="M1" s="18"/>
      <c r="N1" s="18"/>
      <c r="O1" s="18"/>
      <c r="P1" s="4"/>
      <c r="Q1" s="15"/>
      <c r="R1" s="4"/>
      <c r="S1" s="4"/>
      <c r="T1" s="4"/>
      <c r="U1" s="4"/>
      <c r="V1" s="4"/>
      <c r="W1" s="4"/>
      <c r="X1" s="4"/>
      <c r="Y1" s="4"/>
      <c r="Z1" s="4"/>
    </row>
    <row r="2" spans="1:26" ht="33.6" customHeight="1" x14ac:dyDescent="0.25">
      <c r="A2" s="155" t="s">
        <v>29</v>
      </c>
      <c r="B2" s="156" t="s">
        <v>520</v>
      </c>
      <c r="C2" s="157"/>
      <c r="D2" s="157"/>
      <c r="E2" s="157"/>
      <c r="F2" s="16"/>
      <c r="G2" s="17"/>
      <c r="H2" s="18"/>
      <c r="I2" s="16"/>
      <c r="J2" s="17"/>
      <c r="K2" s="18"/>
      <c r="L2" s="16"/>
      <c r="M2" s="17"/>
      <c r="N2" s="18"/>
      <c r="O2" s="18"/>
      <c r="P2" s="18"/>
      <c r="Q2" s="19"/>
      <c r="R2" s="20" t="s">
        <v>24</v>
      </c>
      <c r="S2" s="20"/>
      <c r="T2" s="20"/>
      <c r="U2" s="20"/>
      <c r="V2" s="20"/>
      <c r="W2" s="20"/>
      <c r="X2" s="20"/>
      <c r="Y2" s="20"/>
      <c r="Z2" s="20"/>
    </row>
    <row r="3" spans="1:26" ht="33.6" customHeight="1" x14ac:dyDescent="0.25">
      <c r="A3" s="155" t="s">
        <v>30</v>
      </c>
      <c r="B3" s="156" t="s">
        <v>521</v>
      </c>
      <c r="C3" s="157"/>
      <c r="D3" s="157"/>
      <c r="E3" s="157"/>
      <c r="F3" s="16"/>
      <c r="G3" s="17"/>
      <c r="H3" s="18"/>
      <c r="I3" s="16"/>
      <c r="J3" s="17"/>
      <c r="K3" s="18"/>
      <c r="L3" s="16"/>
      <c r="M3" s="17"/>
      <c r="N3" s="18"/>
      <c r="O3" s="18"/>
      <c r="P3" s="18"/>
      <c r="Q3" s="19"/>
      <c r="R3" s="20" t="s">
        <v>25</v>
      </c>
      <c r="S3" s="20"/>
      <c r="T3" s="20"/>
      <c r="U3" s="20"/>
      <c r="V3" s="20"/>
      <c r="W3" s="20"/>
      <c r="X3" s="20"/>
      <c r="Y3" s="20"/>
      <c r="Z3" s="20"/>
    </row>
    <row r="4" spans="1:26" ht="14.4" customHeight="1" x14ac:dyDescent="0.25">
      <c r="A4" s="52" t="s">
        <v>31</v>
      </c>
      <c r="B4" s="156">
        <v>1</v>
      </c>
      <c r="C4" s="157"/>
      <c r="D4" s="157"/>
      <c r="E4" s="157"/>
      <c r="F4" s="16"/>
      <c r="G4" s="17"/>
      <c r="H4" s="18"/>
      <c r="I4" s="16"/>
      <c r="J4" s="17"/>
      <c r="K4" s="18"/>
      <c r="L4" s="16"/>
      <c r="M4" s="17"/>
      <c r="N4" s="18"/>
      <c r="O4" s="18"/>
      <c r="P4" s="18"/>
      <c r="Q4" s="19"/>
      <c r="R4" s="20" t="s">
        <v>26</v>
      </c>
      <c r="S4" s="20"/>
      <c r="T4" s="20"/>
      <c r="U4" s="20"/>
      <c r="V4" s="20"/>
      <c r="W4" s="20"/>
      <c r="X4" s="20"/>
      <c r="Y4" s="20"/>
      <c r="Z4" s="20"/>
    </row>
    <row r="5" spans="1:26" ht="15.6" customHeight="1" x14ac:dyDescent="0.25">
      <c r="A5" s="51" t="s">
        <v>360</v>
      </c>
      <c r="B5" s="51" t="s">
        <v>24</v>
      </c>
      <c r="C5" s="51" t="s">
        <v>25</v>
      </c>
      <c r="D5" s="51" t="s">
        <v>26</v>
      </c>
      <c r="E5" s="51" t="s">
        <v>27</v>
      </c>
      <c r="F5" s="21"/>
      <c r="G5" s="21"/>
      <c r="H5" s="22"/>
      <c r="I5" s="21"/>
      <c r="J5" s="21"/>
      <c r="K5" s="22"/>
      <c r="L5" s="21"/>
      <c r="M5" s="21"/>
      <c r="N5" s="22"/>
      <c r="O5" s="22"/>
      <c r="P5" s="22"/>
      <c r="Q5" s="23"/>
      <c r="R5" s="20" t="s">
        <v>27</v>
      </c>
      <c r="S5" s="20"/>
      <c r="T5" s="20"/>
      <c r="U5" s="20"/>
      <c r="V5" s="20"/>
      <c r="W5" s="20"/>
      <c r="X5" s="20"/>
      <c r="Y5" s="20"/>
      <c r="Z5" s="20"/>
    </row>
    <row r="6" spans="1:26" ht="12" customHeight="1" x14ac:dyDescent="0.25">
      <c r="A6" s="51" t="s">
        <v>361</v>
      </c>
      <c r="B6" s="51">
        <f t="shared" ref="B6:E6" si="0">COUNTIF($F$12:$F$1005,B$5)</f>
        <v>1</v>
      </c>
      <c r="C6" s="51">
        <f t="shared" si="0"/>
        <v>0</v>
      </c>
      <c r="D6" s="51">
        <f t="shared" si="0"/>
        <v>0</v>
      </c>
      <c r="E6" s="51">
        <f t="shared" si="0"/>
        <v>0</v>
      </c>
      <c r="F6" s="24"/>
      <c r="G6" s="24"/>
      <c r="H6" s="22"/>
      <c r="I6" s="24"/>
      <c r="J6" s="24"/>
      <c r="K6" s="22"/>
      <c r="L6" s="24"/>
      <c r="M6" s="24"/>
      <c r="N6" s="22"/>
      <c r="O6" s="22"/>
      <c r="P6" s="22"/>
      <c r="Q6" s="23"/>
      <c r="R6" s="20"/>
      <c r="S6" s="20"/>
      <c r="T6" s="20"/>
      <c r="U6" s="20"/>
      <c r="V6" s="20"/>
      <c r="W6" s="20"/>
      <c r="X6" s="20"/>
      <c r="Y6" s="20"/>
      <c r="Z6" s="20"/>
    </row>
    <row r="7" spans="1:26" ht="12" customHeight="1" x14ac:dyDescent="0.25">
      <c r="A7" s="51" t="s">
        <v>362</v>
      </c>
      <c r="B7" s="51">
        <f t="shared" ref="B7:E7" si="1">COUNTIF($I$12:$I$1005,B$5)</f>
        <v>1</v>
      </c>
      <c r="C7" s="51">
        <f t="shared" si="1"/>
        <v>0</v>
      </c>
      <c r="D7" s="51">
        <f t="shared" si="1"/>
        <v>0</v>
      </c>
      <c r="E7" s="51">
        <f t="shared" si="1"/>
        <v>0</v>
      </c>
      <c r="F7" s="24"/>
      <c r="G7" s="24"/>
      <c r="H7" s="22"/>
      <c r="I7" s="24"/>
      <c r="J7" s="24"/>
      <c r="K7" s="22"/>
      <c r="L7" s="24"/>
      <c r="M7" s="24"/>
      <c r="N7" s="22"/>
      <c r="O7" s="22"/>
      <c r="P7" s="22"/>
      <c r="Q7" s="23"/>
      <c r="R7" s="20"/>
      <c r="S7" s="20"/>
      <c r="T7" s="20"/>
      <c r="U7" s="20"/>
      <c r="V7" s="20"/>
      <c r="W7" s="20"/>
      <c r="X7" s="20"/>
      <c r="Y7" s="20"/>
      <c r="Z7" s="20"/>
    </row>
    <row r="8" spans="1:26" ht="12" customHeight="1" x14ac:dyDescent="0.25">
      <c r="A8" s="51" t="s">
        <v>363</v>
      </c>
      <c r="B8" s="51">
        <f t="shared" ref="B8:E8" si="2">COUNTIF($L$12:$L$1005,B$5)</f>
        <v>1</v>
      </c>
      <c r="C8" s="51">
        <f t="shared" si="2"/>
        <v>0</v>
      </c>
      <c r="D8" s="51">
        <f t="shared" si="2"/>
        <v>0</v>
      </c>
      <c r="E8" s="51">
        <f t="shared" si="2"/>
        <v>0</v>
      </c>
      <c r="F8" s="24"/>
      <c r="G8" s="24"/>
      <c r="H8" s="22"/>
      <c r="I8" s="24"/>
      <c r="J8" s="24"/>
      <c r="K8" s="22"/>
      <c r="L8" s="24"/>
      <c r="M8" s="24"/>
      <c r="N8" s="22"/>
      <c r="O8" s="22"/>
      <c r="P8" s="22"/>
      <c r="Q8" s="23"/>
      <c r="R8" s="20"/>
      <c r="S8" s="20"/>
      <c r="T8" s="20"/>
      <c r="U8" s="20"/>
      <c r="V8" s="20"/>
      <c r="W8" s="20"/>
      <c r="X8" s="20"/>
      <c r="Y8" s="20"/>
      <c r="Z8" s="20"/>
    </row>
    <row r="9" spans="1:26" ht="12" customHeight="1" x14ac:dyDescent="0.25">
      <c r="A9" s="22"/>
      <c r="B9" s="22"/>
      <c r="C9" s="22"/>
      <c r="D9" s="22"/>
      <c r="E9" s="22"/>
      <c r="F9" s="14"/>
      <c r="G9" s="22"/>
      <c r="H9" s="22"/>
      <c r="I9" s="14"/>
      <c r="J9" s="22"/>
      <c r="K9" s="22"/>
      <c r="L9" s="14"/>
      <c r="M9" s="22"/>
      <c r="N9" s="22"/>
      <c r="O9" s="22"/>
      <c r="P9" s="22"/>
      <c r="Q9" s="23"/>
      <c r="R9" s="20"/>
      <c r="S9" s="20"/>
      <c r="T9" s="20"/>
      <c r="U9" s="20"/>
      <c r="V9" s="20"/>
      <c r="W9" s="20"/>
      <c r="X9" s="20"/>
      <c r="Y9" s="20"/>
      <c r="Z9" s="20"/>
    </row>
    <row r="10" spans="1:26" ht="20.399999999999999" customHeight="1" x14ac:dyDescent="0.25">
      <c r="A10" s="54" t="s">
        <v>364</v>
      </c>
      <c r="B10" s="54" t="s">
        <v>365</v>
      </c>
      <c r="C10" s="54" t="s">
        <v>366</v>
      </c>
      <c r="D10" s="54" t="s">
        <v>367</v>
      </c>
      <c r="E10" s="54" t="s">
        <v>368</v>
      </c>
      <c r="F10" s="54" t="s">
        <v>361</v>
      </c>
      <c r="G10" s="54" t="s">
        <v>369</v>
      </c>
      <c r="H10" s="54" t="s">
        <v>370</v>
      </c>
      <c r="I10" s="54" t="s">
        <v>362</v>
      </c>
      <c r="J10" s="54" t="s">
        <v>369</v>
      </c>
      <c r="K10" s="54" t="s">
        <v>370</v>
      </c>
      <c r="L10" s="54" t="s">
        <v>363</v>
      </c>
      <c r="M10" s="54" t="s">
        <v>369</v>
      </c>
      <c r="N10" s="54" t="s">
        <v>370</v>
      </c>
      <c r="O10" s="54" t="s">
        <v>371</v>
      </c>
      <c r="P10" s="20"/>
      <c r="Q10" s="25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34.799999999999997" customHeight="1" x14ac:dyDescent="0.25">
      <c r="A11" s="55" t="s">
        <v>522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20"/>
      <c r="Q11" s="26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94.35" customHeight="1" x14ac:dyDescent="0.2">
      <c r="A12" s="56" t="s">
        <v>523</v>
      </c>
      <c r="B12" s="56" t="s">
        <v>93</v>
      </c>
      <c r="C12" s="56" t="s">
        <v>524</v>
      </c>
      <c r="D12" s="57" t="s">
        <v>94</v>
      </c>
      <c r="E12" s="57" t="s">
        <v>95</v>
      </c>
      <c r="F12" s="56" t="s">
        <v>24</v>
      </c>
      <c r="G12" s="63">
        <v>46235</v>
      </c>
      <c r="H12" s="56" t="s">
        <v>375</v>
      </c>
      <c r="I12" s="56" t="s">
        <v>24</v>
      </c>
      <c r="J12" s="63">
        <v>46242</v>
      </c>
      <c r="K12" s="56" t="s">
        <v>375</v>
      </c>
      <c r="L12" s="56" t="s">
        <v>24</v>
      </c>
      <c r="M12" s="63">
        <v>46249</v>
      </c>
      <c r="N12" s="56" t="s">
        <v>375</v>
      </c>
      <c r="O12" s="56"/>
      <c r="P12" s="27"/>
      <c r="Q12" s="28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94.35" customHeight="1" x14ac:dyDescent="0.25">
      <c r="A13" s="18"/>
      <c r="B13" s="132"/>
      <c r="C13" s="18"/>
      <c r="D13" s="18"/>
      <c r="E13" s="18"/>
      <c r="F13" s="18"/>
      <c r="G13" s="132"/>
      <c r="H13" s="18"/>
      <c r="I13" s="18"/>
      <c r="J13" s="18"/>
      <c r="K13" s="18"/>
      <c r="L13" s="18"/>
      <c r="M13" s="18"/>
      <c r="N13" s="18"/>
      <c r="O13" s="18"/>
      <c r="P13" s="4"/>
      <c r="Q13" s="15"/>
      <c r="R13" s="4"/>
      <c r="S13" s="4"/>
      <c r="T13" s="4"/>
      <c r="U13" s="4"/>
      <c r="V13" s="4"/>
      <c r="W13" s="4"/>
      <c r="X13" s="4"/>
      <c r="Y13" s="4"/>
      <c r="Z13" s="4"/>
    </row>
    <row r="14" spans="1:26" ht="94.35" customHeight="1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4"/>
      <c r="Q14" s="15"/>
      <c r="R14" s="4"/>
      <c r="S14" s="4"/>
      <c r="T14" s="4"/>
      <c r="U14" s="4"/>
      <c r="V14" s="4"/>
      <c r="W14" s="4"/>
      <c r="X14" s="4"/>
      <c r="Y14" s="4"/>
      <c r="Z14" s="4"/>
    </row>
    <row r="15" spans="1:26" ht="94.35" customHeight="1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4"/>
      <c r="Q15" s="15"/>
      <c r="R15" s="4"/>
      <c r="S15" s="4"/>
      <c r="T15" s="4"/>
      <c r="U15" s="4"/>
      <c r="V15" s="4"/>
      <c r="W15" s="4"/>
      <c r="X15" s="4"/>
      <c r="Y15" s="4"/>
      <c r="Z15" s="4"/>
    </row>
    <row r="16" spans="1:26" ht="94.3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4"/>
      <c r="Q16" s="15"/>
      <c r="R16" s="4"/>
      <c r="S16" s="4"/>
      <c r="T16" s="4"/>
      <c r="U16" s="4"/>
      <c r="V16" s="4"/>
      <c r="W16" s="4"/>
      <c r="X16" s="4"/>
      <c r="Y16" s="4"/>
      <c r="Z16" s="4"/>
    </row>
    <row r="17" spans="1:26" ht="94.35" customHeight="1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4"/>
      <c r="Q17" s="15"/>
      <c r="R17" s="4"/>
      <c r="S17" s="4"/>
      <c r="T17" s="4"/>
      <c r="U17" s="4"/>
      <c r="V17" s="4"/>
      <c r="W17" s="4"/>
      <c r="X17" s="4"/>
      <c r="Y17" s="4"/>
      <c r="Z17" s="4"/>
    </row>
    <row r="18" spans="1:26" ht="94.35" customHeight="1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4"/>
      <c r="Q18" s="15"/>
      <c r="R18" s="4"/>
      <c r="S18" s="4"/>
      <c r="T18" s="4"/>
      <c r="U18" s="4"/>
      <c r="V18" s="4"/>
      <c r="W18" s="4"/>
      <c r="X18" s="4"/>
      <c r="Y18" s="4"/>
      <c r="Z18" s="4"/>
    </row>
    <row r="19" spans="1:26" ht="94.35" customHeight="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4"/>
      <c r="Q19" s="15"/>
      <c r="R19" s="4"/>
      <c r="S19" s="4"/>
      <c r="T19" s="4"/>
      <c r="U19" s="4"/>
      <c r="V19" s="4"/>
      <c r="W19" s="4"/>
      <c r="X19" s="4"/>
      <c r="Y19" s="4"/>
      <c r="Z19" s="4"/>
    </row>
    <row r="20" spans="1:26" ht="94.35" customHeight="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4"/>
      <c r="Q20" s="15"/>
      <c r="R20" s="4"/>
      <c r="S20" s="4"/>
      <c r="T20" s="4"/>
      <c r="U20" s="4"/>
      <c r="V20" s="4"/>
      <c r="W20" s="4"/>
      <c r="X20" s="4"/>
      <c r="Y20" s="4"/>
      <c r="Z20" s="4"/>
    </row>
    <row r="21" spans="1:26" ht="94.35" customHeight="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4"/>
      <c r="Q21" s="15"/>
      <c r="R21" s="4"/>
      <c r="S21" s="4"/>
      <c r="T21" s="4"/>
      <c r="U21" s="4"/>
      <c r="V21" s="4"/>
      <c r="W21" s="4"/>
      <c r="X21" s="4"/>
      <c r="Y21" s="4"/>
      <c r="Z21" s="4"/>
    </row>
    <row r="22" spans="1:26" ht="94.35" customHeight="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4"/>
      <c r="Q22" s="15"/>
      <c r="R22" s="4"/>
      <c r="S22" s="4"/>
      <c r="T22" s="4"/>
      <c r="U22" s="4"/>
      <c r="V22" s="4"/>
      <c r="W22" s="4"/>
      <c r="X22" s="4"/>
      <c r="Y22" s="4"/>
      <c r="Z22" s="4"/>
    </row>
    <row r="23" spans="1:26" ht="94.35" customHeight="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4"/>
      <c r="Q23" s="15"/>
      <c r="R23" s="4"/>
      <c r="S23" s="4"/>
      <c r="T23" s="4"/>
      <c r="U23" s="4"/>
      <c r="V23" s="4"/>
      <c r="W23" s="4"/>
      <c r="X23" s="4"/>
      <c r="Y23" s="4"/>
      <c r="Z23" s="4"/>
    </row>
    <row r="24" spans="1:26" ht="94.35" customHeight="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4"/>
      <c r="Q24" s="15"/>
      <c r="R24" s="4"/>
      <c r="S24" s="4"/>
      <c r="T24" s="4"/>
      <c r="U24" s="4"/>
      <c r="V24" s="4"/>
      <c r="W24" s="4"/>
      <c r="X24" s="4"/>
      <c r="Y24" s="4"/>
      <c r="Z24" s="4"/>
    </row>
    <row r="25" spans="1:26" ht="94.35" customHeight="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4"/>
      <c r="Q25" s="15"/>
      <c r="R25" s="4"/>
      <c r="S25" s="4"/>
      <c r="T25" s="4"/>
      <c r="U25" s="4"/>
      <c r="V25" s="4"/>
      <c r="W25" s="4"/>
      <c r="X25" s="4"/>
      <c r="Y25" s="4"/>
      <c r="Z25" s="4"/>
    </row>
    <row r="26" spans="1:26" ht="94.35" customHeight="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4"/>
      <c r="Q26" s="15"/>
      <c r="R26" s="4"/>
      <c r="S26" s="4"/>
      <c r="T26" s="4"/>
      <c r="U26" s="4"/>
      <c r="V26" s="4"/>
      <c r="W26" s="4"/>
      <c r="X26" s="4"/>
      <c r="Y26" s="4"/>
      <c r="Z26" s="4"/>
    </row>
    <row r="27" spans="1:26" ht="94.35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4"/>
      <c r="Q27" s="15"/>
      <c r="R27" s="4"/>
      <c r="S27" s="4"/>
      <c r="T27" s="4"/>
      <c r="U27" s="4"/>
      <c r="V27" s="4"/>
      <c r="W27" s="4"/>
      <c r="X27" s="4"/>
      <c r="Y27" s="4"/>
      <c r="Z27" s="4"/>
    </row>
    <row r="28" spans="1:26" ht="94.3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4"/>
      <c r="Q28" s="15"/>
      <c r="R28" s="4"/>
      <c r="S28" s="4"/>
      <c r="T28" s="4"/>
      <c r="U28" s="4"/>
      <c r="V28" s="4"/>
      <c r="W28" s="4"/>
      <c r="X28" s="4"/>
      <c r="Y28" s="4"/>
      <c r="Z28" s="4"/>
    </row>
    <row r="29" spans="1:26" ht="94.3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4"/>
      <c r="Q29" s="15"/>
      <c r="R29" s="4"/>
      <c r="S29" s="4"/>
      <c r="T29" s="4"/>
      <c r="U29" s="4"/>
      <c r="V29" s="4"/>
      <c r="W29" s="4"/>
      <c r="X29" s="4"/>
      <c r="Y29" s="4"/>
      <c r="Z29" s="4"/>
    </row>
    <row r="30" spans="1:26" ht="94.35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4"/>
      <c r="Q30" s="15"/>
      <c r="R30" s="4"/>
      <c r="S30" s="4"/>
      <c r="T30" s="4"/>
      <c r="U30" s="4"/>
      <c r="V30" s="4"/>
      <c r="W30" s="4"/>
      <c r="X30" s="4"/>
      <c r="Y30" s="4"/>
      <c r="Z30" s="4"/>
    </row>
    <row r="31" spans="1:26" ht="94.3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4"/>
      <c r="Q31" s="15"/>
      <c r="R31" s="4"/>
      <c r="S31" s="4"/>
      <c r="T31" s="4"/>
      <c r="U31" s="4"/>
      <c r="V31" s="4"/>
      <c r="W31" s="4"/>
      <c r="X31" s="4"/>
      <c r="Y31" s="4"/>
      <c r="Z31" s="4"/>
    </row>
    <row r="32" spans="1:26" ht="94.3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4"/>
      <c r="Q32" s="15"/>
      <c r="R32" s="4"/>
      <c r="S32" s="4"/>
      <c r="T32" s="4"/>
      <c r="U32" s="4"/>
      <c r="V32" s="4"/>
      <c r="W32" s="4"/>
      <c r="X32" s="4"/>
      <c r="Y32" s="4"/>
      <c r="Z32" s="4"/>
    </row>
    <row r="33" spans="1:26" ht="94.3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4"/>
      <c r="Q33" s="15"/>
      <c r="R33" s="4"/>
      <c r="S33" s="4"/>
      <c r="T33" s="4"/>
      <c r="U33" s="4"/>
      <c r="V33" s="4"/>
      <c r="W33" s="4"/>
      <c r="X33" s="4"/>
      <c r="Y33" s="4"/>
      <c r="Z33" s="4"/>
    </row>
    <row r="34" spans="1:26" ht="94.3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4"/>
      <c r="Q34" s="15"/>
      <c r="R34" s="4"/>
      <c r="S34" s="4"/>
      <c r="T34" s="4"/>
      <c r="U34" s="4"/>
      <c r="V34" s="4"/>
      <c r="W34" s="4"/>
      <c r="X34" s="4"/>
      <c r="Y34" s="4"/>
      <c r="Z34" s="4"/>
    </row>
    <row r="35" spans="1:26" ht="94.3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4"/>
      <c r="Q35" s="15"/>
      <c r="R35" s="4"/>
      <c r="S35" s="4"/>
      <c r="T35" s="4"/>
      <c r="U35" s="4"/>
      <c r="V35" s="4"/>
      <c r="W35" s="4"/>
      <c r="X35" s="4"/>
      <c r="Y35" s="4"/>
      <c r="Z35" s="4"/>
    </row>
    <row r="36" spans="1:26" ht="94.35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4"/>
      <c r="Q36" s="15"/>
      <c r="R36" s="4"/>
      <c r="S36" s="4"/>
      <c r="T36" s="4"/>
      <c r="U36" s="4"/>
      <c r="V36" s="4"/>
      <c r="W36" s="4"/>
      <c r="X36" s="4"/>
      <c r="Y36" s="4"/>
      <c r="Z36" s="4"/>
    </row>
    <row r="37" spans="1:26" ht="94.35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4"/>
      <c r="Q37" s="15"/>
      <c r="R37" s="4"/>
      <c r="S37" s="4"/>
      <c r="T37" s="4"/>
      <c r="U37" s="4"/>
      <c r="V37" s="4"/>
      <c r="W37" s="4"/>
      <c r="X37" s="4"/>
      <c r="Y37" s="4"/>
      <c r="Z37" s="4"/>
    </row>
    <row r="38" spans="1:26" ht="94.35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4"/>
      <c r="Q38" s="15"/>
      <c r="R38" s="4"/>
      <c r="S38" s="4"/>
      <c r="T38" s="4"/>
      <c r="U38" s="4"/>
      <c r="V38" s="4"/>
      <c r="W38" s="4"/>
      <c r="X38" s="4"/>
      <c r="Y38" s="4"/>
      <c r="Z38" s="4"/>
    </row>
    <row r="39" spans="1:26" ht="94.3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4"/>
      <c r="Q39" s="15"/>
      <c r="R39" s="4"/>
      <c r="S39" s="4"/>
      <c r="T39" s="4"/>
      <c r="U39" s="4"/>
      <c r="V39" s="4"/>
      <c r="W39" s="4"/>
      <c r="X39" s="4"/>
      <c r="Y39" s="4"/>
      <c r="Z39" s="4"/>
    </row>
    <row r="40" spans="1:26" ht="94.3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4"/>
      <c r="Q40" s="15"/>
      <c r="R40" s="4"/>
      <c r="S40" s="4"/>
      <c r="T40" s="4"/>
      <c r="U40" s="4"/>
      <c r="V40" s="4"/>
      <c r="W40" s="4"/>
      <c r="X40" s="4"/>
      <c r="Y40" s="4"/>
      <c r="Z40" s="4"/>
    </row>
    <row r="41" spans="1:26" ht="94.3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4"/>
      <c r="Q41" s="15"/>
      <c r="R41" s="4"/>
      <c r="S41" s="4"/>
      <c r="T41" s="4"/>
      <c r="U41" s="4"/>
      <c r="V41" s="4"/>
      <c r="W41" s="4"/>
      <c r="X41" s="4"/>
      <c r="Y41" s="4"/>
      <c r="Z41" s="4"/>
    </row>
    <row r="42" spans="1:26" ht="94.3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4"/>
      <c r="Q42" s="15"/>
      <c r="R42" s="4"/>
      <c r="S42" s="4"/>
      <c r="T42" s="4"/>
      <c r="U42" s="4"/>
      <c r="V42" s="4"/>
      <c r="W42" s="4"/>
      <c r="X42" s="4"/>
      <c r="Y42" s="4"/>
      <c r="Z42" s="4"/>
    </row>
    <row r="43" spans="1:26" ht="94.35" customHeight="1" x14ac:dyDescent="0.2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4"/>
      <c r="Q43" s="15"/>
      <c r="R43" s="4"/>
      <c r="S43" s="4"/>
      <c r="T43" s="4"/>
      <c r="U43" s="4"/>
      <c r="V43" s="4"/>
      <c r="W43" s="4"/>
      <c r="X43" s="4"/>
      <c r="Y43" s="4"/>
      <c r="Z43" s="4"/>
    </row>
    <row r="44" spans="1:26" ht="94.35" customHeight="1" x14ac:dyDescent="0.2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4"/>
      <c r="Q44" s="15"/>
      <c r="R44" s="4"/>
      <c r="S44" s="4"/>
      <c r="T44" s="4"/>
      <c r="U44" s="4"/>
      <c r="V44" s="4"/>
      <c r="W44" s="4"/>
      <c r="X44" s="4"/>
      <c r="Y44" s="4"/>
      <c r="Z44" s="4"/>
    </row>
    <row r="45" spans="1:26" ht="94.35" customHeight="1" x14ac:dyDescent="0.2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4"/>
      <c r="Q45" s="15"/>
      <c r="R45" s="4"/>
      <c r="S45" s="4"/>
      <c r="T45" s="4"/>
      <c r="U45" s="4"/>
      <c r="V45" s="4"/>
      <c r="W45" s="4"/>
      <c r="X45" s="4"/>
      <c r="Y45" s="4"/>
      <c r="Z45" s="4"/>
    </row>
    <row r="46" spans="1:26" ht="94.35" customHeight="1" x14ac:dyDescent="0.2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4"/>
      <c r="Q46" s="15"/>
      <c r="R46" s="4"/>
      <c r="S46" s="4"/>
      <c r="T46" s="4"/>
      <c r="U46" s="4"/>
      <c r="V46" s="4"/>
      <c r="W46" s="4"/>
      <c r="X46" s="4"/>
      <c r="Y46" s="4"/>
      <c r="Z46" s="4"/>
    </row>
    <row r="47" spans="1:26" ht="94.35" customHeight="1" x14ac:dyDescent="0.2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4"/>
      <c r="Q47" s="15"/>
      <c r="R47" s="4"/>
      <c r="S47" s="4"/>
      <c r="T47" s="4"/>
      <c r="U47" s="4"/>
      <c r="V47" s="4"/>
      <c r="W47" s="4"/>
      <c r="X47" s="4"/>
      <c r="Y47" s="4"/>
      <c r="Z47" s="4"/>
    </row>
    <row r="48" spans="1:26" ht="94.35" customHeight="1" x14ac:dyDescent="0.2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4"/>
      <c r="Q48" s="15"/>
      <c r="R48" s="4"/>
      <c r="S48" s="4"/>
      <c r="T48" s="4"/>
      <c r="U48" s="4"/>
      <c r="V48" s="4"/>
      <c r="W48" s="4"/>
      <c r="X48" s="4"/>
      <c r="Y48" s="4"/>
      <c r="Z48" s="4"/>
    </row>
    <row r="49" spans="1:26" ht="94.35" customHeight="1" x14ac:dyDescent="0.2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4"/>
      <c r="Q49" s="15"/>
      <c r="R49" s="4"/>
      <c r="S49" s="4"/>
      <c r="T49" s="4"/>
      <c r="U49" s="4"/>
      <c r="V49" s="4"/>
      <c r="W49" s="4"/>
      <c r="X49" s="4"/>
      <c r="Y49" s="4"/>
      <c r="Z49" s="4"/>
    </row>
    <row r="50" spans="1:26" ht="94.35" customHeight="1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4"/>
      <c r="Q50" s="15"/>
      <c r="R50" s="4"/>
      <c r="S50" s="4"/>
      <c r="T50" s="4"/>
      <c r="U50" s="4"/>
      <c r="V50" s="4"/>
      <c r="W50" s="4"/>
      <c r="X50" s="4"/>
      <c r="Y50" s="4"/>
      <c r="Z50" s="4"/>
    </row>
    <row r="51" spans="1:26" ht="94.35" customHeight="1" x14ac:dyDescent="0.2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4"/>
      <c r="Q51" s="15"/>
      <c r="R51" s="4"/>
      <c r="S51" s="4"/>
      <c r="T51" s="4"/>
      <c r="U51" s="4"/>
      <c r="V51" s="4"/>
      <c r="W51" s="4"/>
      <c r="X51" s="4"/>
      <c r="Y51" s="4"/>
      <c r="Z51" s="4"/>
    </row>
    <row r="52" spans="1:26" ht="94.35" customHeight="1" x14ac:dyDescent="0.2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4"/>
      <c r="Q52" s="15"/>
      <c r="R52" s="4"/>
      <c r="S52" s="4"/>
      <c r="T52" s="4"/>
      <c r="U52" s="4"/>
      <c r="V52" s="4"/>
      <c r="W52" s="4"/>
      <c r="X52" s="4"/>
      <c r="Y52" s="4"/>
      <c r="Z52" s="4"/>
    </row>
    <row r="53" spans="1:26" ht="94.35" customHeight="1" x14ac:dyDescent="0.2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4"/>
      <c r="Q53" s="15"/>
      <c r="R53" s="4"/>
      <c r="S53" s="4"/>
      <c r="T53" s="4"/>
      <c r="U53" s="4"/>
      <c r="V53" s="4"/>
      <c r="W53" s="4"/>
      <c r="X53" s="4"/>
      <c r="Y53" s="4"/>
      <c r="Z53" s="4"/>
    </row>
    <row r="54" spans="1:26" ht="94.35" customHeight="1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4"/>
      <c r="Q54" s="15"/>
      <c r="R54" s="4"/>
      <c r="S54" s="4"/>
      <c r="T54" s="4"/>
      <c r="U54" s="4"/>
      <c r="V54" s="4"/>
      <c r="W54" s="4"/>
      <c r="X54" s="4"/>
      <c r="Y54" s="4"/>
      <c r="Z54" s="4"/>
    </row>
    <row r="55" spans="1:26" ht="94.35" customHeight="1" x14ac:dyDescent="0.2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4"/>
      <c r="Q55" s="15"/>
      <c r="R55" s="4"/>
      <c r="S55" s="4"/>
      <c r="T55" s="4"/>
      <c r="U55" s="4"/>
      <c r="V55" s="4"/>
      <c r="W55" s="4"/>
      <c r="X55" s="4"/>
      <c r="Y55" s="4"/>
      <c r="Z55" s="4"/>
    </row>
    <row r="56" spans="1:26" ht="94.35" customHeight="1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4"/>
      <c r="Q56" s="15"/>
      <c r="R56" s="4"/>
      <c r="S56" s="4"/>
      <c r="T56" s="4"/>
      <c r="U56" s="4"/>
      <c r="V56" s="4"/>
      <c r="W56" s="4"/>
      <c r="X56" s="4"/>
      <c r="Y56" s="4"/>
      <c r="Z56" s="4"/>
    </row>
    <row r="57" spans="1:26" ht="94.35" customHeight="1" x14ac:dyDescent="0.2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4"/>
      <c r="Q57" s="15"/>
      <c r="R57" s="4"/>
      <c r="S57" s="4"/>
      <c r="T57" s="4"/>
      <c r="U57" s="4"/>
      <c r="V57" s="4"/>
      <c r="W57" s="4"/>
      <c r="X57" s="4"/>
      <c r="Y57" s="4"/>
      <c r="Z57" s="4"/>
    </row>
    <row r="58" spans="1:26" ht="94.35" customHeight="1" x14ac:dyDescent="0.2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4"/>
      <c r="Q58" s="15"/>
      <c r="R58" s="4"/>
      <c r="S58" s="4"/>
      <c r="T58" s="4"/>
      <c r="U58" s="4"/>
      <c r="V58" s="4"/>
      <c r="W58" s="4"/>
      <c r="X58" s="4"/>
      <c r="Y58" s="4"/>
      <c r="Z58" s="4"/>
    </row>
    <row r="59" spans="1:26" ht="94.35" customHeight="1" x14ac:dyDescent="0.2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4"/>
      <c r="Q59" s="15"/>
      <c r="R59" s="4"/>
      <c r="S59" s="4"/>
      <c r="T59" s="4"/>
      <c r="U59" s="4"/>
      <c r="V59" s="4"/>
      <c r="W59" s="4"/>
      <c r="X59" s="4"/>
      <c r="Y59" s="4"/>
      <c r="Z59" s="4"/>
    </row>
    <row r="60" spans="1:26" ht="94.35" customHeight="1" x14ac:dyDescent="0.2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4"/>
      <c r="Q60" s="15"/>
      <c r="R60" s="4"/>
      <c r="S60" s="4"/>
      <c r="T60" s="4"/>
      <c r="U60" s="4"/>
      <c r="V60" s="4"/>
      <c r="W60" s="4"/>
      <c r="X60" s="4"/>
      <c r="Y60" s="4"/>
      <c r="Z60" s="4"/>
    </row>
    <row r="61" spans="1:26" ht="94.35" customHeight="1" x14ac:dyDescent="0.2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4"/>
      <c r="Q61" s="15"/>
      <c r="R61" s="4"/>
      <c r="S61" s="4"/>
      <c r="T61" s="4"/>
      <c r="U61" s="4"/>
      <c r="V61" s="4"/>
      <c r="W61" s="4"/>
      <c r="X61" s="4"/>
      <c r="Y61" s="4"/>
      <c r="Z61" s="4"/>
    </row>
    <row r="62" spans="1:26" ht="94.35" customHeight="1" x14ac:dyDescent="0.2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4"/>
      <c r="Q62" s="15"/>
      <c r="R62" s="4"/>
      <c r="S62" s="4"/>
      <c r="T62" s="4"/>
      <c r="U62" s="4"/>
      <c r="V62" s="4"/>
      <c r="W62" s="4"/>
      <c r="X62" s="4"/>
      <c r="Y62" s="4"/>
      <c r="Z62" s="4"/>
    </row>
    <row r="63" spans="1:26" ht="94.35" customHeight="1" x14ac:dyDescent="0.2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4"/>
      <c r="Q63" s="15"/>
      <c r="R63" s="4"/>
      <c r="S63" s="4"/>
      <c r="T63" s="4"/>
      <c r="U63" s="4"/>
      <c r="V63" s="4"/>
      <c r="W63" s="4"/>
      <c r="X63" s="4"/>
      <c r="Y63" s="4"/>
      <c r="Z63" s="4"/>
    </row>
    <row r="64" spans="1:26" ht="94.35" customHeight="1" x14ac:dyDescent="0.2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4"/>
      <c r="Q64" s="15"/>
      <c r="R64" s="4"/>
      <c r="S64" s="4"/>
      <c r="T64" s="4"/>
      <c r="U64" s="4"/>
      <c r="V64" s="4"/>
      <c r="W64" s="4"/>
      <c r="X64" s="4"/>
      <c r="Y64" s="4"/>
      <c r="Z64" s="4"/>
    </row>
    <row r="65" spans="1:26" ht="94.35" customHeight="1" x14ac:dyDescent="0.2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4"/>
      <c r="Q65" s="15"/>
      <c r="R65" s="4"/>
      <c r="S65" s="4"/>
      <c r="T65" s="4"/>
      <c r="U65" s="4"/>
      <c r="V65" s="4"/>
      <c r="W65" s="4"/>
      <c r="X65" s="4"/>
      <c r="Y65" s="4"/>
      <c r="Z65" s="4"/>
    </row>
    <row r="66" spans="1:26" ht="94.35" customHeight="1" x14ac:dyDescent="0.2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4"/>
      <c r="Q66" s="15"/>
      <c r="R66" s="4"/>
      <c r="S66" s="4"/>
      <c r="T66" s="4"/>
      <c r="U66" s="4"/>
      <c r="V66" s="4"/>
      <c r="W66" s="4"/>
      <c r="X66" s="4"/>
      <c r="Y66" s="4"/>
      <c r="Z66" s="4"/>
    </row>
    <row r="67" spans="1:26" ht="94.35" customHeight="1" x14ac:dyDescent="0.2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4"/>
      <c r="Q67" s="15"/>
      <c r="R67" s="4"/>
      <c r="S67" s="4"/>
      <c r="T67" s="4"/>
      <c r="U67" s="4"/>
      <c r="V67" s="4"/>
      <c r="W67" s="4"/>
      <c r="X67" s="4"/>
      <c r="Y67" s="4"/>
      <c r="Z67" s="4"/>
    </row>
    <row r="68" spans="1:26" ht="94.35" customHeight="1" x14ac:dyDescent="0.2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4"/>
      <c r="Q68" s="15"/>
      <c r="R68" s="4"/>
      <c r="S68" s="4"/>
      <c r="T68" s="4"/>
      <c r="U68" s="4"/>
      <c r="V68" s="4"/>
      <c r="W68" s="4"/>
      <c r="X68" s="4"/>
      <c r="Y68" s="4"/>
      <c r="Z68" s="4"/>
    </row>
    <row r="69" spans="1:26" ht="94.35" customHeight="1" x14ac:dyDescent="0.2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4"/>
      <c r="Q69" s="15"/>
      <c r="R69" s="4"/>
      <c r="S69" s="4"/>
      <c r="T69" s="4"/>
      <c r="U69" s="4"/>
      <c r="V69" s="4"/>
      <c r="W69" s="4"/>
      <c r="X69" s="4"/>
      <c r="Y69" s="4"/>
      <c r="Z69" s="4"/>
    </row>
    <row r="70" spans="1:26" ht="94.35" customHeight="1" x14ac:dyDescent="0.2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4"/>
      <c r="Q70" s="15"/>
      <c r="R70" s="4"/>
      <c r="S70" s="4"/>
      <c r="T70" s="4"/>
      <c r="U70" s="4"/>
      <c r="V70" s="4"/>
      <c r="W70" s="4"/>
      <c r="X70" s="4"/>
      <c r="Y70" s="4"/>
      <c r="Z70" s="4"/>
    </row>
    <row r="71" spans="1:26" ht="94.35" customHeight="1" x14ac:dyDescent="0.2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4"/>
      <c r="Q71" s="15"/>
      <c r="R71" s="4"/>
      <c r="S71" s="4"/>
      <c r="T71" s="4"/>
      <c r="U71" s="4"/>
      <c r="V71" s="4"/>
      <c r="W71" s="4"/>
      <c r="X71" s="4"/>
      <c r="Y71" s="4"/>
      <c r="Z71" s="4"/>
    </row>
    <row r="72" spans="1:26" ht="94.35" customHeight="1" x14ac:dyDescent="0.2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4"/>
      <c r="Q72" s="15"/>
      <c r="R72" s="4"/>
      <c r="S72" s="4"/>
      <c r="T72" s="4"/>
      <c r="U72" s="4"/>
      <c r="V72" s="4"/>
      <c r="W72" s="4"/>
      <c r="X72" s="4"/>
      <c r="Y72" s="4"/>
      <c r="Z72" s="4"/>
    </row>
    <row r="73" spans="1:26" ht="94.35" customHeight="1" x14ac:dyDescent="0.2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4"/>
      <c r="Q73" s="15"/>
      <c r="R73" s="4"/>
      <c r="S73" s="4"/>
      <c r="T73" s="4"/>
      <c r="U73" s="4"/>
      <c r="V73" s="4"/>
      <c r="W73" s="4"/>
      <c r="X73" s="4"/>
      <c r="Y73" s="4"/>
      <c r="Z73" s="4"/>
    </row>
    <row r="74" spans="1:26" ht="94.35" customHeight="1" x14ac:dyDescent="0.2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4"/>
      <c r="Q74" s="15"/>
      <c r="R74" s="4"/>
      <c r="S74" s="4"/>
      <c r="T74" s="4"/>
      <c r="U74" s="4"/>
      <c r="V74" s="4"/>
      <c r="W74" s="4"/>
      <c r="X74" s="4"/>
      <c r="Y74" s="4"/>
      <c r="Z74" s="4"/>
    </row>
    <row r="75" spans="1:26" ht="94.35" customHeight="1" x14ac:dyDescent="0.2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4"/>
      <c r="Q75" s="15"/>
      <c r="R75" s="4"/>
      <c r="S75" s="4"/>
      <c r="T75" s="4"/>
      <c r="U75" s="4"/>
      <c r="V75" s="4"/>
      <c r="W75" s="4"/>
      <c r="X75" s="4"/>
      <c r="Y75" s="4"/>
      <c r="Z75" s="4"/>
    </row>
    <row r="76" spans="1:26" ht="94.35" customHeight="1" x14ac:dyDescent="0.2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4"/>
      <c r="Q76" s="15"/>
      <c r="R76" s="4"/>
      <c r="S76" s="4"/>
      <c r="T76" s="4"/>
      <c r="U76" s="4"/>
      <c r="V76" s="4"/>
      <c r="W76" s="4"/>
      <c r="X76" s="4"/>
      <c r="Y76" s="4"/>
      <c r="Z76" s="4"/>
    </row>
    <row r="77" spans="1:26" ht="94.35" customHeight="1" x14ac:dyDescent="0.2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4"/>
      <c r="Q77" s="15"/>
      <c r="R77" s="4"/>
      <c r="S77" s="4"/>
      <c r="T77" s="4"/>
      <c r="U77" s="4"/>
      <c r="V77" s="4"/>
      <c r="W77" s="4"/>
      <c r="X77" s="4"/>
      <c r="Y77" s="4"/>
      <c r="Z77" s="4"/>
    </row>
    <row r="78" spans="1:26" ht="94.35" customHeight="1" x14ac:dyDescent="0.2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4"/>
      <c r="Q78" s="15"/>
      <c r="R78" s="4"/>
      <c r="S78" s="4"/>
      <c r="T78" s="4"/>
      <c r="U78" s="4"/>
      <c r="V78" s="4"/>
      <c r="W78" s="4"/>
      <c r="X78" s="4"/>
      <c r="Y78" s="4"/>
      <c r="Z78" s="4"/>
    </row>
    <row r="79" spans="1:26" ht="94.35" customHeight="1" x14ac:dyDescent="0.2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4"/>
      <c r="Q79" s="15"/>
      <c r="R79" s="4"/>
      <c r="S79" s="4"/>
      <c r="T79" s="4"/>
      <c r="U79" s="4"/>
      <c r="V79" s="4"/>
      <c r="W79" s="4"/>
      <c r="X79" s="4"/>
      <c r="Y79" s="4"/>
      <c r="Z79" s="4"/>
    </row>
    <row r="80" spans="1:26" ht="94.35" customHeight="1" x14ac:dyDescent="0.2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4"/>
      <c r="Q80" s="15"/>
      <c r="R80" s="4"/>
      <c r="S80" s="4"/>
      <c r="T80" s="4"/>
      <c r="U80" s="4"/>
      <c r="V80" s="4"/>
      <c r="W80" s="4"/>
      <c r="X80" s="4"/>
      <c r="Y80" s="4"/>
      <c r="Z80" s="4"/>
    </row>
    <row r="81" spans="1:26" ht="94.3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15"/>
      <c r="R81" s="4"/>
      <c r="S81" s="4"/>
      <c r="T81" s="4"/>
      <c r="U81" s="4"/>
      <c r="V81" s="4"/>
      <c r="W81" s="4"/>
      <c r="X81" s="4"/>
      <c r="Y81" s="4"/>
      <c r="Z81" s="4"/>
    </row>
    <row r="82" spans="1:26" ht="94.3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15"/>
      <c r="R82" s="4"/>
      <c r="S82" s="4"/>
      <c r="T82" s="4"/>
      <c r="U82" s="4"/>
      <c r="V82" s="4"/>
      <c r="W82" s="4"/>
      <c r="X82" s="4"/>
      <c r="Y82" s="4"/>
      <c r="Z82" s="4"/>
    </row>
    <row r="83" spans="1:26" ht="94.3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15"/>
      <c r="R83" s="4"/>
      <c r="S83" s="4"/>
      <c r="T83" s="4"/>
      <c r="U83" s="4"/>
      <c r="V83" s="4"/>
      <c r="W83" s="4"/>
      <c r="X83" s="4"/>
      <c r="Y83" s="4"/>
      <c r="Z83" s="4"/>
    </row>
    <row r="84" spans="1:26" ht="94.3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15"/>
      <c r="R84" s="4"/>
      <c r="S84" s="4"/>
      <c r="T84" s="4"/>
      <c r="U84" s="4"/>
      <c r="V84" s="4"/>
      <c r="W84" s="4"/>
      <c r="X84" s="4"/>
      <c r="Y84" s="4"/>
      <c r="Z84" s="4"/>
    </row>
    <row r="85" spans="1:26" ht="94.3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15"/>
      <c r="R85" s="4"/>
      <c r="S85" s="4"/>
      <c r="T85" s="4"/>
      <c r="U85" s="4"/>
      <c r="V85" s="4"/>
      <c r="W85" s="4"/>
      <c r="X85" s="4"/>
      <c r="Y85" s="4"/>
      <c r="Z85" s="4"/>
    </row>
    <row r="86" spans="1:26" ht="94.3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15"/>
      <c r="R86" s="4"/>
      <c r="S86" s="4"/>
      <c r="T86" s="4"/>
      <c r="U86" s="4"/>
      <c r="V86" s="4"/>
      <c r="W86" s="4"/>
      <c r="X86" s="4"/>
      <c r="Y86" s="4"/>
      <c r="Z86" s="4"/>
    </row>
    <row r="87" spans="1:26" ht="94.3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15"/>
      <c r="R87" s="4"/>
      <c r="S87" s="4"/>
      <c r="T87" s="4"/>
      <c r="U87" s="4"/>
      <c r="V87" s="4"/>
      <c r="W87" s="4"/>
      <c r="X87" s="4"/>
      <c r="Y87" s="4"/>
      <c r="Z87" s="4"/>
    </row>
    <row r="88" spans="1:26" ht="94.3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15"/>
      <c r="R88" s="4"/>
      <c r="S88" s="4"/>
      <c r="T88" s="4"/>
      <c r="U88" s="4"/>
      <c r="V88" s="4"/>
      <c r="W88" s="4"/>
      <c r="X88" s="4"/>
      <c r="Y88" s="4"/>
      <c r="Z88" s="4"/>
    </row>
    <row r="89" spans="1:26" ht="94.3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15"/>
      <c r="R89" s="4"/>
      <c r="S89" s="4"/>
      <c r="T89" s="4"/>
      <c r="U89" s="4"/>
      <c r="V89" s="4"/>
      <c r="W89" s="4"/>
      <c r="X89" s="4"/>
      <c r="Y89" s="4"/>
      <c r="Z89" s="4"/>
    </row>
    <row r="90" spans="1:26" ht="94.3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15"/>
      <c r="R90" s="4"/>
      <c r="S90" s="4"/>
      <c r="T90" s="4"/>
      <c r="U90" s="4"/>
      <c r="V90" s="4"/>
      <c r="W90" s="4"/>
      <c r="X90" s="4"/>
      <c r="Y90" s="4"/>
      <c r="Z90" s="4"/>
    </row>
    <row r="91" spans="1:26" ht="94.3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15"/>
      <c r="R91" s="4"/>
      <c r="S91" s="4"/>
      <c r="T91" s="4"/>
      <c r="U91" s="4"/>
      <c r="V91" s="4"/>
      <c r="W91" s="4"/>
      <c r="X91" s="4"/>
      <c r="Y91" s="4"/>
      <c r="Z91" s="4"/>
    </row>
    <row r="92" spans="1:26" ht="94.3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15"/>
      <c r="R92" s="4"/>
      <c r="S92" s="4"/>
      <c r="T92" s="4"/>
      <c r="U92" s="4"/>
      <c r="V92" s="4"/>
      <c r="W92" s="4"/>
      <c r="X92" s="4"/>
      <c r="Y92" s="4"/>
      <c r="Z92" s="4"/>
    </row>
    <row r="93" spans="1:26" ht="94.3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15"/>
      <c r="R93" s="4"/>
      <c r="S93" s="4"/>
      <c r="T93" s="4"/>
      <c r="U93" s="4"/>
      <c r="V93" s="4"/>
      <c r="W93" s="4"/>
      <c r="X93" s="4"/>
      <c r="Y93" s="4"/>
      <c r="Z93" s="4"/>
    </row>
    <row r="94" spans="1:26" ht="94.3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15"/>
      <c r="R94" s="4"/>
      <c r="S94" s="4"/>
      <c r="T94" s="4"/>
      <c r="U94" s="4"/>
      <c r="V94" s="4"/>
      <c r="W94" s="4"/>
      <c r="X94" s="4"/>
      <c r="Y94" s="4"/>
      <c r="Z94" s="4"/>
    </row>
    <row r="95" spans="1:26" ht="94.3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15"/>
      <c r="R95" s="4"/>
      <c r="S95" s="4"/>
      <c r="T95" s="4"/>
      <c r="U95" s="4"/>
      <c r="V95" s="4"/>
      <c r="W95" s="4"/>
      <c r="X95" s="4"/>
      <c r="Y95" s="4"/>
      <c r="Z95" s="4"/>
    </row>
    <row r="96" spans="1:26" ht="94.3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15"/>
      <c r="R96" s="4"/>
      <c r="S96" s="4"/>
      <c r="T96" s="4"/>
      <c r="U96" s="4"/>
      <c r="V96" s="4"/>
      <c r="W96" s="4"/>
      <c r="X96" s="4"/>
      <c r="Y96" s="4"/>
      <c r="Z96" s="4"/>
    </row>
    <row r="97" spans="1:26" ht="94.3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15"/>
      <c r="R97" s="4"/>
      <c r="S97" s="4"/>
      <c r="T97" s="4"/>
      <c r="U97" s="4"/>
      <c r="V97" s="4"/>
      <c r="W97" s="4"/>
      <c r="X97" s="4"/>
      <c r="Y97" s="4"/>
      <c r="Z97" s="4"/>
    </row>
    <row r="98" spans="1:26" ht="94.3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15"/>
      <c r="R98" s="4"/>
      <c r="S98" s="4"/>
      <c r="T98" s="4"/>
      <c r="U98" s="4"/>
      <c r="V98" s="4"/>
      <c r="W98" s="4"/>
      <c r="X98" s="4"/>
      <c r="Y98" s="4"/>
      <c r="Z98" s="4"/>
    </row>
    <row r="99" spans="1:26" ht="94.3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15"/>
      <c r="R99" s="4"/>
      <c r="S99" s="4"/>
      <c r="T99" s="4"/>
      <c r="U99" s="4"/>
      <c r="V99" s="4"/>
      <c r="W99" s="4"/>
      <c r="X99" s="4"/>
      <c r="Y99" s="4"/>
      <c r="Z99" s="4"/>
    </row>
    <row r="100" spans="1:26" ht="94.3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15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0.199999999999999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15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0.199999999999999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15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0.199999999999999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15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0.199999999999999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15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0.199999999999999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15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0.199999999999999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15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0.199999999999999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15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0.199999999999999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15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0.199999999999999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15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0.199999999999999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15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0.199999999999999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15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0.199999999999999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15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0.199999999999999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15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0.199999999999999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15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0.199999999999999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15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0.199999999999999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15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0.199999999999999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15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0.199999999999999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15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0.199999999999999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15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0.199999999999999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15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0.199999999999999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15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0.199999999999999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15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0.199999999999999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15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0.199999999999999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15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0.199999999999999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15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0.199999999999999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15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0.199999999999999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15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0.199999999999999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15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0.199999999999999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15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0.199999999999999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15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0.199999999999999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15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0.199999999999999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15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0.199999999999999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15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0.199999999999999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15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0.199999999999999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15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0.199999999999999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15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0.199999999999999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15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0.199999999999999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15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0.199999999999999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15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0.199999999999999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15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0.199999999999999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15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0.199999999999999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15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0.199999999999999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15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0.199999999999999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15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0.199999999999999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15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0.199999999999999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15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0.199999999999999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15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0.199999999999999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15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0.199999999999999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15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0.199999999999999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15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0.199999999999999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15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0.199999999999999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15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0.199999999999999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15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0.199999999999999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15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0.199999999999999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15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0.199999999999999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15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0.199999999999999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15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0.199999999999999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15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0.199999999999999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15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0.199999999999999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15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0.199999999999999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15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0.199999999999999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15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0.199999999999999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15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0.199999999999999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15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0.199999999999999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15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0.199999999999999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15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0.199999999999999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15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0.199999999999999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15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0.199999999999999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15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0.199999999999999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15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0.199999999999999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15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0.199999999999999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15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0.199999999999999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15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0.199999999999999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15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0.199999999999999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15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0.199999999999999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15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0.199999999999999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15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0.199999999999999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15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0.199999999999999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15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0.199999999999999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15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0.199999999999999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15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0.199999999999999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15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0.199999999999999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15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0.199999999999999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15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0.199999999999999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15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0.199999999999999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15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0.199999999999999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15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0.199999999999999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15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0.199999999999999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15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0.199999999999999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15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0.199999999999999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15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0.199999999999999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15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0.199999999999999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15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0.199999999999999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15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0.199999999999999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15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0.199999999999999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15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0.199999999999999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15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0.199999999999999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15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0.199999999999999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15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0.199999999999999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15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0.199999999999999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15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0.199999999999999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15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0.199999999999999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15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0.199999999999999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15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0.199999999999999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15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0.199999999999999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15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0.199999999999999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15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0.199999999999999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15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0.199999999999999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15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0.199999999999999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15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0.199999999999999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15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0.199999999999999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15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0.199999999999999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15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0.199999999999999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15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0.199999999999999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15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0.199999999999999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15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0.199999999999999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15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0.199999999999999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15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0.199999999999999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15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0.199999999999999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15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0.199999999999999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15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0.199999999999999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15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0.199999999999999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15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0.199999999999999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15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0.199999999999999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15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0.199999999999999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15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0.199999999999999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15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0.199999999999999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15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0.199999999999999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15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0.199999999999999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15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0.199999999999999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15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0.199999999999999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15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0.199999999999999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15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0.199999999999999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15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0.199999999999999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15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0.199999999999999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15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0.199999999999999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15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0.199999999999999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15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0.199999999999999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15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0.199999999999999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15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0.199999999999999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15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0.199999999999999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15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0.199999999999999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15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0.199999999999999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15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0.199999999999999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15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0.199999999999999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15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0.199999999999999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15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0.199999999999999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15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0.199999999999999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15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0.199999999999999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15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0.199999999999999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15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0.199999999999999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15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0.199999999999999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15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0.199999999999999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15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0.199999999999999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15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0.199999999999999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15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0.199999999999999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15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0.199999999999999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15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0.199999999999999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15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0.199999999999999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15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0.199999999999999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15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0.199999999999999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15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0.199999999999999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15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0.199999999999999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15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0.199999999999999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15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0.199999999999999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15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0.199999999999999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15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0.199999999999999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15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0.199999999999999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15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0.199999999999999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15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0.199999999999999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15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0.199999999999999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15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0.199999999999999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15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0.199999999999999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15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0.199999999999999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15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0.199999999999999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15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0.199999999999999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15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0.199999999999999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15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0.199999999999999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15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0.199999999999999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15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0.199999999999999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15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0.199999999999999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15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0.199999999999999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15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0.199999999999999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15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0.199999999999999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15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0.199999999999999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15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0.199999999999999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15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0.199999999999999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15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0.199999999999999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15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0.199999999999999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15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0.199999999999999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15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0.199999999999999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15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0.199999999999999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15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0.199999999999999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15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0.199999999999999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15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0.199999999999999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15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0.199999999999999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15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0.199999999999999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15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0.199999999999999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15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0.199999999999999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15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0.199999999999999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15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0.199999999999999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15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0.199999999999999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15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0.199999999999999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15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0.199999999999999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15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0.199999999999999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15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0.199999999999999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15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0.199999999999999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15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0.199999999999999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15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0.199999999999999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15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0.199999999999999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15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0.199999999999999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15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0.199999999999999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15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0.199999999999999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15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0.199999999999999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15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0.199999999999999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15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0.199999999999999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15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0.199999999999999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15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0.199999999999999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15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0.199999999999999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15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0.199999999999999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15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0.199999999999999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15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0.199999999999999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15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0.199999999999999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15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0.199999999999999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15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0.199999999999999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15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0.199999999999999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15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0.199999999999999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15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0.199999999999999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15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0.199999999999999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15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0.199999999999999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15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0.199999999999999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15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0.199999999999999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15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0.199999999999999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15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0.199999999999999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15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0.199999999999999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15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0.199999999999999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15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0.199999999999999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15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0.199999999999999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15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0.199999999999999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15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0.199999999999999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15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0.199999999999999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15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0.199999999999999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15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0.199999999999999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15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0.199999999999999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15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0.199999999999999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15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0.199999999999999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15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0.199999999999999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15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0.199999999999999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15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0.199999999999999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15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0.199999999999999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15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0.199999999999999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15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0.199999999999999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15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0.199999999999999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15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0.199999999999999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15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0.199999999999999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15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0.199999999999999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15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0.199999999999999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15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0.199999999999999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15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0.199999999999999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15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0.199999999999999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15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0.199999999999999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15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0.199999999999999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15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0.199999999999999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15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0.199999999999999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15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0.199999999999999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15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0.199999999999999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15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0.199999999999999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15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0.199999999999999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15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0.199999999999999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15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0.199999999999999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15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0.199999999999999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15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0.199999999999999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15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0.199999999999999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15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0.199999999999999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15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0.199999999999999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15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0.199999999999999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15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0.199999999999999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15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0.199999999999999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15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0.199999999999999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15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0.199999999999999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15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0.199999999999999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15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0.199999999999999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15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0.199999999999999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15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0.199999999999999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15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0.199999999999999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15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0.199999999999999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15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0.199999999999999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15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0.199999999999999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15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0.199999999999999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15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0.199999999999999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15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0.199999999999999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15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0.199999999999999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15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0.199999999999999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15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0.199999999999999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15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0.199999999999999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15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0.199999999999999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15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0.199999999999999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15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0.199999999999999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15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0.199999999999999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15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0.199999999999999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15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0.199999999999999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15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0.199999999999999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15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0.199999999999999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15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0.199999999999999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15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0.199999999999999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15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0.199999999999999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15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0.199999999999999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15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0.199999999999999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15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0.199999999999999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15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0.199999999999999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15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0.199999999999999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15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0.199999999999999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15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0.199999999999999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15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0.199999999999999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15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0.199999999999999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15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0.199999999999999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15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0.199999999999999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15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0.199999999999999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15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0.199999999999999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15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0.199999999999999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15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0.199999999999999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15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0.199999999999999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15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0.199999999999999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15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0.199999999999999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15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0.199999999999999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15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0.199999999999999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15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0.199999999999999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15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0.199999999999999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15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0.199999999999999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15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0.199999999999999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15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0.199999999999999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15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0.199999999999999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15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0.199999999999999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15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0.199999999999999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15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0.199999999999999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15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0.199999999999999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15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0.199999999999999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15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0.199999999999999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15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0.199999999999999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15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0.199999999999999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15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0.199999999999999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15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0.199999999999999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15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0.199999999999999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15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0.199999999999999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15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0.199999999999999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15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0.199999999999999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15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0.199999999999999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15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0.199999999999999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15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0.199999999999999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15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0.199999999999999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15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0.199999999999999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15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0.199999999999999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15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0.199999999999999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15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0.199999999999999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15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0.199999999999999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15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0.199999999999999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15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0.199999999999999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15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0.199999999999999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15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0.199999999999999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15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0.199999999999999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15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0.199999999999999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15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0.199999999999999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15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0.199999999999999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15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0.199999999999999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15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0.199999999999999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15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0.199999999999999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15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0.199999999999999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15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0.199999999999999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15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0.199999999999999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15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0.199999999999999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15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0.199999999999999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15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0.199999999999999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15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0.199999999999999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15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0.199999999999999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15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0.199999999999999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15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0.199999999999999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15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0.199999999999999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15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0.199999999999999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15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0.199999999999999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15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0.199999999999999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15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0.199999999999999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15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0.199999999999999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15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0.199999999999999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15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0.199999999999999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15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0.199999999999999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15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0.199999999999999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15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0.199999999999999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15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0.199999999999999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15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0.199999999999999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15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0.199999999999999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15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0.199999999999999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15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0.199999999999999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15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0.199999999999999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15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0.199999999999999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15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0.199999999999999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15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0.199999999999999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15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0.199999999999999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15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0.199999999999999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15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0.199999999999999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15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0.199999999999999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15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0.199999999999999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15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0.199999999999999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15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0.199999999999999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15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0.199999999999999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15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0.199999999999999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15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0.199999999999999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15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0.199999999999999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15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0.199999999999999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15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0.199999999999999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15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0.199999999999999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15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0.199999999999999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15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0.199999999999999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15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0.199999999999999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15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0.199999999999999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15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0.199999999999999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15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0.199999999999999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15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0.199999999999999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15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0.199999999999999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15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0.199999999999999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15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0.199999999999999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15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0.199999999999999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15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0.199999999999999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15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0.199999999999999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15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0.199999999999999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15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0.199999999999999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15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0.199999999999999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15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0.199999999999999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15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0.199999999999999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15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0.199999999999999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15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0.199999999999999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15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0.199999999999999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15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0.199999999999999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15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0.199999999999999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15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0.199999999999999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15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0.199999999999999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15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0.199999999999999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15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0.199999999999999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15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0.199999999999999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15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0.199999999999999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15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0.199999999999999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15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0.199999999999999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15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0.199999999999999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15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0.199999999999999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15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0.199999999999999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15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0.199999999999999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15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0.199999999999999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15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0.199999999999999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15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0.199999999999999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15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0.199999999999999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15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0.199999999999999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15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0.199999999999999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15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0.199999999999999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15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0.199999999999999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15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0.199999999999999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15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0.199999999999999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15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0.199999999999999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15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0.199999999999999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15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0.199999999999999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15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0.199999999999999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15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0.199999999999999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15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0.199999999999999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15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0.199999999999999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15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0.199999999999999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15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0.199999999999999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15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0.199999999999999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15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0.199999999999999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15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0.199999999999999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15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0.199999999999999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15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0.199999999999999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15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0.199999999999999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15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0.199999999999999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15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0.199999999999999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15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0.199999999999999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15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0.199999999999999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15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0.199999999999999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15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0.199999999999999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15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0.199999999999999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15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0.199999999999999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15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0.199999999999999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15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0.199999999999999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15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0.199999999999999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15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0.199999999999999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15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0.199999999999999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15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0.199999999999999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15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0.199999999999999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15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0.199999999999999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15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0.199999999999999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15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0.199999999999999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15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0.199999999999999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15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0.199999999999999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15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0.199999999999999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15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0.199999999999999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15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0.199999999999999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15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0.199999999999999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15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0.199999999999999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15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0.199999999999999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15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0.199999999999999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15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0.199999999999999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15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0.199999999999999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15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0.199999999999999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15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0.199999999999999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15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0.199999999999999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15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0.199999999999999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15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0.199999999999999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15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0.199999999999999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15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0.199999999999999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15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0.199999999999999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15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0.199999999999999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15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0.199999999999999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15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0.199999999999999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15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0.199999999999999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15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0.199999999999999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15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0.199999999999999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15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0.199999999999999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15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0.199999999999999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15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0.199999999999999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15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0.199999999999999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15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0.199999999999999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15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0.199999999999999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15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0.199999999999999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15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0.199999999999999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15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0.199999999999999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15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0.199999999999999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15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0.199999999999999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15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0.199999999999999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15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0.199999999999999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15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0.199999999999999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15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0.199999999999999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15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0.199999999999999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15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0.199999999999999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15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0.199999999999999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15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0.199999999999999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15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0.199999999999999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15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0.199999999999999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15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0.199999999999999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15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0.199999999999999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15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0.199999999999999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15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0.199999999999999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15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0.199999999999999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15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0.199999999999999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15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0.199999999999999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15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0.199999999999999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15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0.199999999999999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15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0.199999999999999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15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0.199999999999999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15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0.199999999999999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15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0.199999999999999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15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0.199999999999999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15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0.199999999999999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15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0.199999999999999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15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0.199999999999999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15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0.199999999999999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15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0.199999999999999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15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0.199999999999999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15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0.199999999999999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15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0.199999999999999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15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0.199999999999999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15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0.199999999999999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15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0.199999999999999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15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0.199999999999999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15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0.199999999999999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15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0.199999999999999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15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0.199999999999999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15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0.199999999999999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15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0.199999999999999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15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0.199999999999999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15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0.199999999999999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15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0.199999999999999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15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0.199999999999999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15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0.199999999999999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15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0.199999999999999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15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0.199999999999999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15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0.199999999999999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15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0.199999999999999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15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0.199999999999999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15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0.199999999999999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15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0.199999999999999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15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0.199999999999999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15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0.199999999999999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15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0.199999999999999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15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0.199999999999999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15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0.199999999999999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15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0.199999999999999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15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0.199999999999999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15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0.199999999999999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15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0.199999999999999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15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0.199999999999999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15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0.199999999999999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15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0.199999999999999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15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0.199999999999999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15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0.199999999999999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15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0.199999999999999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15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0.199999999999999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15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0.199999999999999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15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0.199999999999999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15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0.199999999999999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15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0.199999999999999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15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0.199999999999999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15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0.199999999999999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15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0.199999999999999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15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0.199999999999999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15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0.199999999999999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15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0.199999999999999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15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0.199999999999999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15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0.199999999999999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15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0.199999999999999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15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0.199999999999999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15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0.199999999999999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15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0.199999999999999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15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0.199999999999999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15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0.199999999999999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15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0.199999999999999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15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0.199999999999999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15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0.199999999999999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15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0.199999999999999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15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0.199999999999999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15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0.199999999999999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15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0.199999999999999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15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0.199999999999999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15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0.199999999999999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15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0.199999999999999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15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0.199999999999999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15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0.199999999999999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15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0.199999999999999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15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0.199999999999999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15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0.199999999999999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15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0.199999999999999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15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0.199999999999999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15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0.199999999999999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15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0.199999999999999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15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0.199999999999999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15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0.199999999999999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15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0.199999999999999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15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0.199999999999999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15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0.199999999999999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15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0.199999999999999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15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0.199999999999999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15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0.199999999999999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15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0.199999999999999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15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0.199999999999999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15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0.199999999999999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15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0.199999999999999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15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0.199999999999999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15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0.199999999999999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15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0.199999999999999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15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0.199999999999999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15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0.199999999999999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15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0.199999999999999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15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0.199999999999999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15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0.199999999999999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15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0.199999999999999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15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0.199999999999999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15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0.199999999999999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15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0.199999999999999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15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0.199999999999999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15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0.199999999999999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15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0.199999999999999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15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0.199999999999999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15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0.199999999999999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15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0.199999999999999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15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0.199999999999999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15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0.199999999999999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15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0.199999999999999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15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0.199999999999999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15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0.199999999999999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15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0.199999999999999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15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0.199999999999999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15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0.199999999999999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15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0.199999999999999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15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0.199999999999999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15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0.199999999999999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15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0.199999999999999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15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0.199999999999999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15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0.199999999999999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15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0.199999999999999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15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0.199999999999999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15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0.199999999999999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15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0.199999999999999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15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0.199999999999999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15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0.199999999999999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15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0.199999999999999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15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0.199999999999999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15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0.199999999999999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15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0.199999999999999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15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0.199999999999999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15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0.199999999999999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15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0.199999999999999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15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0.199999999999999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15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0.199999999999999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15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0.199999999999999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15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0.199999999999999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15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0.199999999999999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15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0.199999999999999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15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0.199999999999999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15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0.199999999999999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15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0.199999999999999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15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0.199999999999999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15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0.199999999999999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15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0.199999999999999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15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0.199999999999999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15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0.199999999999999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15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0.199999999999999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15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0.199999999999999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15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0.199999999999999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15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0.199999999999999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15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0.199999999999999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15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0.199999999999999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15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0.199999999999999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15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0.199999999999999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15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0.199999999999999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15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0.199999999999999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15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0.199999999999999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15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0.199999999999999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15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0.199999999999999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15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0.199999999999999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15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0.199999999999999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15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0.199999999999999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15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0.199999999999999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15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0.199999999999999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15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0.199999999999999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15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0.199999999999999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15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0.199999999999999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15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0.199999999999999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15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0.199999999999999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15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0.199999999999999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15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0.199999999999999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15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0.199999999999999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15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0.199999999999999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15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0.199999999999999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15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0.199999999999999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15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0.199999999999999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15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0.199999999999999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15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0.199999999999999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15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0.199999999999999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15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0.199999999999999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15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0.199999999999999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15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0.199999999999999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15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0.199999999999999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15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0.199999999999999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15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0.199999999999999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15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0.199999999999999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15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0.199999999999999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15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0.199999999999999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15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0.199999999999999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15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0.199999999999999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15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0.199999999999999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15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0.199999999999999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15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0.199999999999999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15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0.199999999999999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15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0.199999999999999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15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0.199999999999999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15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0.199999999999999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15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0.199999999999999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15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0.199999999999999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15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0.199999999999999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15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0.199999999999999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15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0.199999999999999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15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0.199999999999999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15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0.199999999999999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15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0.199999999999999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15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0.199999999999999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15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0.199999999999999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15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0.199999999999999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15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0.199999999999999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15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0.199999999999999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15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0.199999999999999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15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0.199999999999999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15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0.199999999999999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15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0.199999999999999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15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0.199999999999999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15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0.199999999999999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15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0.199999999999999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15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0.199999999999999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15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0.199999999999999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15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0.199999999999999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15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0.199999999999999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15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0.199999999999999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15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0.199999999999999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15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0.199999999999999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15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0.199999999999999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15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0.199999999999999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15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0.199999999999999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15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0.199999999999999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15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0.199999999999999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15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0.199999999999999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15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0.199999999999999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15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0.199999999999999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15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0.199999999999999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15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0.199999999999999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15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0.199999999999999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15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0.199999999999999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15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0.199999999999999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15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0.199999999999999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15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0.199999999999999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15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0.199999999999999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15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0.199999999999999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15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0.199999999999999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15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0.199999999999999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15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0.199999999999999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15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0.199999999999999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15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0.199999999999999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15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0.199999999999999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15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0.199999999999999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15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0.199999999999999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15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0.199999999999999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15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0.199999999999999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15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0.199999999999999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15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0.199999999999999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15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0.199999999999999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15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0.199999999999999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15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0.199999999999999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15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0.199999999999999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15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0.199999999999999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15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0.199999999999999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15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0.199999999999999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15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0.199999999999999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15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0.199999999999999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15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0.199999999999999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15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0.199999999999999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15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0.199999999999999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15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0.199999999999999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15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0.199999999999999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15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0.199999999999999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15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0.199999999999999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15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0.199999999999999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15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0.199999999999999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15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0.199999999999999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15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0.199999999999999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15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0.199999999999999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15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0.199999999999999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15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0.199999999999999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15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0.199999999999999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15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0.199999999999999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15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0.199999999999999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15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0.199999999999999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15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0.199999999999999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15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0.199999999999999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15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0.199999999999999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15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0.199999999999999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15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0.199999999999999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15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0.199999999999999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15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0.199999999999999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15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0.199999999999999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15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0.199999999999999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15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0.199999999999999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15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0.199999999999999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15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0.199999999999999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15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0.199999999999999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15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0.199999999999999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15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0.199999999999999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15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0.199999999999999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15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0.199999999999999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15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0.199999999999999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15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0.199999999999999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15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0.199999999999999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15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0.199999999999999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15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0.199999999999999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15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0.199999999999999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15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0.199999999999999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15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0.199999999999999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15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0.199999999999999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15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0.199999999999999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15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0.199999999999999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15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0.199999999999999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15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0.199999999999999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15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0.199999999999999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15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0.199999999999999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15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0.199999999999999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15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0.199999999999999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15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0.199999999999999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15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0.199999999999999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15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0.199999999999999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15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0.199999999999999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15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0.199999999999999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15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0.199999999999999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15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0.199999999999999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15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0.199999999999999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15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0.199999999999999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15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0.199999999999999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15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0.199999999999999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15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0.199999999999999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15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0.199999999999999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15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0.199999999999999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15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0.199999999999999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15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0.199999999999999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15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0.199999999999999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15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0.199999999999999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15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0.199999999999999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15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0.199999999999999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15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0.199999999999999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15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0.199999999999999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15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0.199999999999999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15"/>
      <c r="R993" s="4"/>
      <c r="S993" s="4"/>
      <c r="T993" s="4"/>
      <c r="U993" s="4"/>
      <c r="V993" s="4"/>
      <c r="W993" s="4"/>
      <c r="X993" s="4"/>
      <c r="Y993" s="4"/>
      <c r="Z993" s="4"/>
    </row>
  </sheetData>
  <mergeCells count="4">
    <mergeCell ref="B1:E1"/>
    <mergeCell ref="A2:A3"/>
    <mergeCell ref="B2:E3"/>
    <mergeCell ref="B4:E4"/>
  </mergeCells>
  <dataValidations count="1">
    <dataValidation type="list" allowBlank="1" showErrorMessage="1" sqref="G2:G3 J2:J3 M2:M3 G9 J9 M9 F12 I12 L12 G13:G140 J13:J140 M13:M140" xr:uid="{00000000-0002-0000-0900-000000000000}">
      <formula1>$R$2:$R$5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994"/>
  <sheetViews>
    <sheetView topLeftCell="A12" workbookViewId="0"/>
  </sheetViews>
  <sheetFormatPr defaultColWidth="12.6640625" defaultRowHeight="13.2" x14ac:dyDescent="0.2"/>
  <cols>
    <col min="1" max="1" width="14" customWidth="1"/>
    <col min="2" max="2" width="34" customWidth="1"/>
    <col min="3" max="3" width="58" customWidth="1"/>
    <col min="4" max="4" width="48" customWidth="1"/>
    <col min="5" max="5" width="38" customWidth="1"/>
    <col min="6" max="6" width="9.33203125" customWidth="1"/>
    <col min="7" max="7" width="13" customWidth="1"/>
    <col min="8" max="8" width="8.77734375" customWidth="1"/>
    <col min="9" max="9" width="9.33203125" customWidth="1"/>
    <col min="10" max="10" width="13" customWidth="1"/>
    <col min="11" max="11" width="8.21875" customWidth="1"/>
    <col min="12" max="12" width="9.33203125" customWidth="1"/>
    <col min="13" max="13" width="13" customWidth="1"/>
    <col min="14" max="14" width="9.44140625" customWidth="1"/>
    <col min="15" max="15" width="28.6640625" customWidth="1"/>
    <col min="16" max="16" width="10.109375" customWidth="1"/>
    <col min="17" max="17" width="8.109375" customWidth="1"/>
    <col min="18" max="18" width="7.6640625" hidden="1" customWidth="1"/>
    <col min="19" max="26" width="9" customWidth="1"/>
  </cols>
  <sheetData>
    <row r="1" spans="1:26" ht="10.199999999999999" customHeight="1" x14ac:dyDescent="0.25">
      <c r="A1" s="53"/>
      <c r="B1" s="154"/>
      <c r="C1" s="154"/>
      <c r="D1" s="154"/>
      <c r="E1" s="154"/>
      <c r="F1" s="18"/>
      <c r="G1" s="18"/>
      <c r="H1" s="18"/>
      <c r="I1" s="18"/>
      <c r="J1" s="18"/>
      <c r="K1" s="18"/>
      <c r="L1" s="18"/>
      <c r="M1" s="18"/>
      <c r="N1" s="18"/>
      <c r="O1" s="18"/>
      <c r="P1" s="4"/>
      <c r="Q1" s="15"/>
      <c r="R1" s="4"/>
      <c r="S1" s="4"/>
      <c r="T1" s="4"/>
      <c r="U1" s="4"/>
      <c r="V1" s="4"/>
      <c r="W1" s="4"/>
      <c r="X1" s="4"/>
      <c r="Y1" s="4"/>
      <c r="Z1" s="4"/>
    </row>
    <row r="2" spans="1:26" ht="33.6" customHeight="1" x14ac:dyDescent="0.25">
      <c r="A2" s="155" t="s">
        <v>29</v>
      </c>
      <c r="B2" s="156" t="s">
        <v>525</v>
      </c>
      <c r="C2" s="157"/>
      <c r="D2" s="157"/>
      <c r="E2" s="157"/>
      <c r="F2" s="16"/>
      <c r="G2" s="17"/>
      <c r="H2" s="18"/>
      <c r="I2" s="16"/>
      <c r="J2" s="17"/>
      <c r="K2" s="18"/>
      <c r="L2" s="16"/>
      <c r="M2" s="17"/>
      <c r="N2" s="18"/>
      <c r="O2" s="18"/>
      <c r="P2" s="18"/>
      <c r="Q2" s="19"/>
      <c r="R2" s="20" t="s">
        <v>24</v>
      </c>
      <c r="S2" s="20"/>
      <c r="T2" s="20"/>
      <c r="U2" s="20"/>
      <c r="V2" s="20"/>
      <c r="W2" s="20"/>
      <c r="X2" s="20"/>
      <c r="Y2" s="20"/>
      <c r="Z2" s="20"/>
    </row>
    <row r="3" spans="1:26" ht="33.6" customHeight="1" x14ac:dyDescent="0.25">
      <c r="A3" s="155" t="s">
        <v>30</v>
      </c>
      <c r="B3" s="156" t="s">
        <v>526</v>
      </c>
      <c r="C3" s="157"/>
      <c r="D3" s="157"/>
      <c r="E3" s="157"/>
      <c r="F3" s="16"/>
      <c r="G3" s="17"/>
      <c r="H3" s="18"/>
      <c r="I3" s="16"/>
      <c r="J3" s="17"/>
      <c r="K3" s="18"/>
      <c r="L3" s="16"/>
      <c r="M3" s="17"/>
      <c r="N3" s="18"/>
      <c r="O3" s="18"/>
      <c r="P3" s="18"/>
      <c r="Q3" s="19"/>
      <c r="R3" s="20" t="s">
        <v>25</v>
      </c>
      <c r="S3" s="20"/>
      <c r="T3" s="20"/>
      <c r="U3" s="20"/>
      <c r="V3" s="20"/>
      <c r="W3" s="20"/>
      <c r="X3" s="20"/>
      <c r="Y3" s="20"/>
      <c r="Z3" s="20"/>
    </row>
    <row r="4" spans="1:26" ht="14.4" customHeight="1" x14ac:dyDescent="0.25">
      <c r="A4" s="52" t="s">
        <v>31</v>
      </c>
      <c r="B4" s="156">
        <v>2</v>
      </c>
      <c r="C4" s="157"/>
      <c r="D4" s="157"/>
      <c r="E4" s="157"/>
      <c r="F4" s="16"/>
      <c r="G4" s="17"/>
      <c r="H4" s="18"/>
      <c r="I4" s="16"/>
      <c r="J4" s="17"/>
      <c r="K4" s="18"/>
      <c r="L4" s="16"/>
      <c r="M4" s="17"/>
      <c r="N4" s="18"/>
      <c r="O4" s="18"/>
      <c r="P4" s="18"/>
      <c r="Q4" s="19"/>
      <c r="R4" s="20" t="s">
        <v>26</v>
      </c>
      <c r="S4" s="20"/>
      <c r="T4" s="20"/>
      <c r="U4" s="20"/>
      <c r="V4" s="20"/>
      <c r="W4" s="20"/>
      <c r="X4" s="20"/>
      <c r="Y4" s="20"/>
      <c r="Z4" s="20"/>
    </row>
    <row r="5" spans="1:26" ht="15.6" customHeight="1" x14ac:dyDescent="0.25">
      <c r="A5" s="51" t="s">
        <v>360</v>
      </c>
      <c r="B5" s="51" t="s">
        <v>24</v>
      </c>
      <c r="C5" s="51" t="s">
        <v>25</v>
      </c>
      <c r="D5" s="51" t="s">
        <v>26</v>
      </c>
      <c r="E5" s="51" t="s">
        <v>27</v>
      </c>
      <c r="F5" s="21"/>
      <c r="G5" s="21"/>
      <c r="H5" s="22"/>
      <c r="I5" s="21"/>
      <c r="J5" s="21"/>
      <c r="K5" s="22"/>
      <c r="L5" s="21"/>
      <c r="M5" s="21"/>
      <c r="N5" s="22"/>
      <c r="O5" s="22"/>
      <c r="P5" s="22"/>
      <c r="Q5" s="23"/>
      <c r="R5" s="20" t="s">
        <v>27</v>
      </c>
      <c r="S5" s="20"/>
      <c r="T5" s="20"/>
      <c r="U5" s="20"/>
      <c r="V5" s="20"/>
      <c r="W5" s="20"/>
      <c r="X5" s="20"/>
      <c r="Y5" s="20"/>
      <c r="Z5" s="20"/>
    </row>
    <row r="6" spans="1:26" ht="12" customHeight="1" x14ac:dyDescent="0.25">
      <c r="A6" s="51" t="s">
        <v>361</v>
      </c>
      <c r="B6" s="51">
        <f t="shared" ref="B6:E6" si="0">COUNTIF($F$12:$F$1005,B$5)</f>
        <v>2</v>
      </c>
      <c r="C6" s="51">
        <f t="shared" si="0"/>
        <v>0</v>
      </c>
      <c r="D6" s="51">
        <f t="shared" si="0"/>
        <v>0</v>
      </c>
      <c r="E6" s="51">
        <f t="shared" si="0"/>
        <v>0</v>
      </c>
      <c r="F6" s="24"/>
      <c r="G6" s="24"/>
      <c r="H6" s="22"/>
      <c r="I6" s="24"/>
      <c r="J6" s="24"/>
      <c r="K6" s="22"/>
      <c r="L6" s="24"/>
      <c r="M6" s="24"/>
      <c r="N6" s="22"/>
      <c r="O6" s="22"/>
      <c r="P6" s="22"/>
      <c r="Q6" s="23"/>
      <c r="R6" s="20"/>
      <c r="S6" s="20"/>
      <c r="T6" s="20"/>
      <c r="U6" s="20"/>
      <c r="V6" s="20"/>
      <c r="W6" s="20"/>
      <c r="X6" s="20"/>
      <c r="Y6" s="20"/>
      <c r="Z6" s="20"/>
    </row>
    <row r="7" spans="1:26" ht="12" customHeight="1" x14ac:dyDescent="0.25">
      <c r="A7" s="51" t="s">
        <v>362</v>
      </c>
      <c r="B7" s="51">
        <f t="shared" ref="B7:E7" si="1">COUNTIF($I$12:$I$1005,B$5)</f>
        <v>2</v>
      </c>
      <c r="C7" s="51">
        <f t="shared" si="1"/>
        <v>0</v>
      </c>
      <c r="D7" s="51">
        <f t="shared" si="1"/>
        <v>0</v>
      </c>
      <c r="E7" s="51">
        <f t="shared" si="1"/>
        <v>0</v>
      </c>
      <c r="F7" s="24"/>
      <c r="G7" s="24"/>
      <c r="H7" s="22"/>
      <c r="I7" s="24"/>
      <c r="J7" s="24"/>
      <c r="K7" s="22"/>
      <c r="L7" s="24"/>
      <c r="M7" s="24"/>
      <c r="N7" s="22"/>
      <c r="O7" s="22"/>
      <c r="P7" s="22"/>
      <c r="Q7" s="23"/>
      <c r="R7" s="20"/>
      <c r="S7" s="20"/>
      <c r="T7" s="20"/>
      <c r="U7" s="20"/>
      <c r="V7" s="20"/>
      <c r="W7" s="20"/>
      <c r="X7" s="20"/>
      <c r="Y7" s="20"/>
      <c r="Z7" s="20"/>
    </row>
    <row r="8" spans="1:26" ht="12" customHeight="1" x14ac:dyDescent="0.25">
      <c r="A8" s="51" t="s">
        <v>363</v>
      </c>
      <c r="B8" s="51">
        <f t="shared" ref="B8:E8" si="2">COUNTIF($L$12:$L$1005,B$5)</f>
        <v>2</v>
      </c>
      <c r="C8" s="51">
        <f t="shared" si="2"/>
        <v>0</v>
      </c>
      <c r="D8" s="51">
        <f t="shared" si="2"/>
        <v>0</v>
      </c>
      <c r="E8" s="51">
        <f t="shared" si="2"/>
        <v>0</v>
      </c>
      <c r="F8" s="24"/>
      <c r="G8" s="24"/>
      <c r="H8" s="22"/>
      <c r="I8" s="24"/>
      <c r="J8" s="24"/>
      <c r="K8" s="22"/>
      <c r="L8" s="24"/>
      <c r="M8" s="24"/>
      <c r="N8" s="22"/>
      <c r="O8" s="22"/>
      <c r="P8" s="22"/>
      <c r="Q8" s="23"/>
      <c r="R8" s="20"/>
      <c r="S8" s="20"/>
      <c r="T8" s="20"/>
      <c r="U8" s="20"/>
      <c r="V8" s="20"/>
      <c r="W8" s="20"/>
      <c r="X8" s="20"/>
      <c r="Y8" s="20"/>
      <c r="Z8" s="20"/>
    </row>
    <row r="9" spans="1:26" ht="12" customHeight="1" x14ac:dyDescent="0.25">
      <c r="A9" s="22"/>
      <c r="B9" s="22"/>
      <c r="C9" s="22"/>
      <c r="D9" s="22"/>
      <c r="E9" s="22"/>
      <c r="F9" s="14"/>
      <c r="G9" s="22"/>
      <c r="H9" s="22"/>
      <c r="I9" s="14"/>
      <c r="J9" s="22"/>
      <c r="K9" s="22"/>
      <c r="L9" s="14"/>
      <c r="M9" s="22"/>
      <c r="N9" s="22"/>
      <c r="O9" s="22"/>
      <c r="P9" s="22"/>
      <c r="Q9" s="23"/>
      <c r="R9" s="20"/>
      <c r="S9" s="20"/>
      <c r="T9" s="20"/>
      <c r="U9" s="20"/>
      <c r="V9" s="20"/>
      <c r="W9" s="20"/>
      <c r="X9" s="20"/>
      <c r="Y9" s="20"/>
      <c r="Z9" s="20"/>
    </row>
    <row r="10" spans="1:26" ht="20.399999999999999" customHeight="1" x14ac:dyDescent="0.25">
      <c r="A10" s="54" t="s">
        <v>364</v>
      </c>
      <c r="B10" s="54" t="s">
        <v>365</v>
      </c>
      <c r="C10" s="54" t="s">
        <v>366</v>
      </c>
      <c r="D10" s="54" t="s">
        <v>367</v>
      </c>
      <c r="E10" s="54" t="s">
        <v>368</v>
      </c>
      <c r="F10" s="54" t="s">
        <v>361</v>
      </c>
      <c r="G10" s="54" t="s">
        <v>369</v>
      </c>
      <c r="H10" s="54" t="s">
        <v>370</v>
      </c>
      <c r="I10" s="54" t="s">
        <v>362</v>
      </c>
      <c r="J10" s="54" t="s">
        <v>369</v>
      </c>
      <c r="K10" s="54" t="s">
        <v>370</v>
      </c>
      <c r="L10" s="54" t="s">
        <v>363</v>
      </c>
      <c r="M10" s="54" t="s">
        <v>369</v>
      </c>
      <c r="N10" s="54" t="s">
        <v>370</v>
      </c>
      <c r="O10" s="54" t="s">
        <v>371</v>
      </c>
      <c r="P10" s="20"/>
      <c r="Q10" s="25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40.200000000000003" customHeight="1" x14ac:dyDescent="0.25">
      <c r="A11" s="55" t="s">
        <v>527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20"/>
      <c r="Q11" s="26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94.35" customHeight="1" x14ac:dyDescent="0.2">
      <c r="A12" s="56" t="s">
        <v>528</v>
      </c>
      <c r="B12" s="56" t="s">
        <v>96</v>
      </c>
      <c r="C12" s="56" t="s">
        <v>529</v>
      </c>
      <c r="D12" s="57" t="s">
        <v>97</v>
      </c>
      <c r="E12" s="57" t="s">
        <v>98</v>
      </c>
      <c r="F12" s="56" t="s">
        <v>24</v>
      </c>
      <c r="G12" s="63">
        <v>46235</v>
      </c>
      <c r="H12" s="56" t="s">
        <v>375</v>
      </c>
      <c r="I12" s="56" t="s">
        <v>24</v>
      </c>
      <c r="J12" s="63">
        <v>46242</v>
      </c>
      <c r="K12" s="56" t="s">
        <v>375</v>
      </c>
      <c r="L12" s="56" t="s">
        <v>24</v>
      </c>
      <c r="M12" s="63">
        <v>46249</v>
      </c>
      <c r="N12" s="56" t="s">
        <v>375</v>
      </c>
      <c r="O12" s="56"/>
      <c r="P12" s="27"/>
      <c r="Q12" s="28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94.35" customHeight="1" x14ac:dyDescent="0.2">
      <c r="A13" s="56" t="s">
        <v>530</v>
      </c>
      <c r="B13" s="56" t="s">
        <v>99</v>
      </c>
      <c r="C13" s="56" t="s">
        <v>531</v>
      </c>
      <c r="D13" s="57" t="s">
        <v>100</v>
      </c>
      <c r="E13" s="57" t="s">
        <v>101</v>
      </c>
      <c r="F13" s="56" t="s">
        <v>24</v>
      </c>
      <c r="G13" s="63">
        <v>46235</v>
      </c>
      <c r="H13" s="56" t="s">
        <v>375</v>
      </c>
      <c r="I13" s="56" t="s">
        <v>24</v>
      </c>
      <c r="J13" s="63">
        <v>46242</v>
      </c>
      <c r="K13" s="56" t="s">
        <v>375</v>
      </c>
      <c r="L13" s="56" t="s">
        <v>24</v>
      </c>
      <c r="M13" s="63">
        <v>46249</v>
      </c>
      <c r="N13" s="56" t="s">
        <v>375</v>
      </c>
      <c r="O13" s="56"/>
      <c r="P13" s="27"/>
      <c r="Q13" s="28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94.35" customHeight="1" x14ac:dyDescent="0.25">
      <c r="A14" s="18"/>
      <c r="B14" s="18"/>
      <c r="C14" s="18"/>
      <c r="D14" s="18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P14" s="4"/>
      <c r="Q14" s="15"/>
      <c r="R14" s="4"/>
      <c r="S14" s="4"/>
      <c r="T14" s="4"/>
      <c r="U14" s="4"/>
      <c r="V14" s="4"/>
      <c r="W14" s="4"/>
      <c r="X14" s="4"/>
      <c r="Y14" s="4"/>
      <c r="Z14" s="4"/>
    </row>
    <row r="15" spans="1:26" ht="94.35" customHeight="1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4"/>
      <c r="Q15" s="15"/>
      <c r="R15" s="4"/>
      <c r="S15" s="4"/>
      <c r="T15" s="4"/>
      <c r="U15" s="4"/>
      <c r="V15" s="4"/>
      <c r="W15" s="4"/>
      <c r="X15" s="4"/>
      <c r="Y15" s="4"/>
      <c r="Z15" s="4"/>
    </row>
    <row r="16" spans="1:26" ht="94.3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4"/>
      <c r="Q16" s="15"/>
      <c r="R16" s="4"/>
      <c r="S16" s="4"/>
      <c r="T16" s="4"/>
      <c r="U16" s="4"/>
      <c r="V16" s="4"/>
      <c r="W16" s="4"/>
      <c r="X16" s="4"/>
      <c r="Y16" s="4"/>
      <c r="Z16" s="4"/>
    </row>
    <row r="17" spans="1:26" ht="94.35" customHeight="1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4"/>
      <c r="Q17" s="15"/>
      <c r="R17" s="4"/>
      <c r="S17" s="4"/>
      <c r="T17" s="4"/>
      <c r="U17" s="4"/>
      <c r="V17" s="4"/>
      <c r="W17" s="4"/>
      <c r="X17" s="4"/>
      <c r="Y17" s="4"/>
      <c r="Z17" s="4"/>
    </row>
    <row r="18" spans="1:26" ht="94.35" customHeight="1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4"/>
      <c r="Q18" s="15"/>
      <c r="R18" s="4"/>
      <c r="S18" s="4"/>
      <c r="T18" s="4"/>
      <c r="U18" s="4"/>
      <c r="V18" s="4"/>
      <c r="W18" s="4"/>
      <c r="X18" s="4"/>
      <c r="Y18" s="4"/>
      <c r="Z18" s="4"/>
    </row>
    <row r="19" spans="1:26" ht="94.35" customHeight="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4"/>
      <c r="Q19" s="15"/>
      <c r="R19" s="4"/>
      <c r="S19" s="4"/>
      <c r="T19" s="4"/>
      <c r="U19" s="4"/>
      <c r="V19" s="4"/>
      <c r="W19" s="4"/>
      <c r="X19" s="4"/>
      <c r="Y19" s="4"/>
      <c r="Z19" s="4"/>
    </row>
    <row r="20" spans="1:26" ht="94.35" customHeight="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4"/>
      <c r="Q20" s="15"/>
      <c r="R20" s="4"/>
      <c r="S20" s="4"/>
      <c r="T20" s="4"/>
      <c r="U20" s="4"/>
      <c r="V20" s="4"/>
      <c r="W20" s="4"/>
      <c r="X20" s="4"/>
      <c r="Y20" s="4"/>
      <c r="Z20" s="4"/>
    </row>
    <row r="21" spans="1:26" ht="94.35" customHeight="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4"/>
      <c r="Q21" s="15"/>
      <c r="R21" s="4"/>
      <c r="S21" s="4"/>
      <c r="T21" s="4"/>
      <c r="U21" s="4"/>
      <c r="V21" s="4"/>
      <c r="W21" s="4"/>
      <c r="X21" s="4"/>
      <c r="Y21" s="4"/>
      <c r="Z21" s="4"/>
    </row>
    <row r="22" spans="1:26" ht="94.35" customHeight="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4"/>
      <c r="Q22" s="15"/>
      <c r="R22" s="4"/>
      <c r="S22" s="4"/>
      <c r="T22" s="4"/>
      <c r="U22" s="4"/>
      <c r="V22" s="4"/>
      <c r="W22" s="4"/>
      <c r="X22" s="4"/>
      <c r="Y22" s="4"/>
      <c r="Z22" s="4"/>
    </row>
    <row r="23" spans="1:26" ht="94.35" customHeight="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4"/>
      <c r="Q23" s="15"/>
      <c r="R23" s="4"/>
      <c r="S23" s="4"/>
      <c r="T23" s="4"/>
      <c r="U23" s="4"/>
      <c r="V23" s="4"/>
      <c r="W23" s="4"/>
      <c r="X23" s="4"/>
      <c r="Y23" s="4"/>
      <c r="Z23" s="4"/>
    </row>
    <row r="24" spans="1:26" ht="94.35" customHeight="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4"/>
      <c r="Q24" s="15"/>
      <c r="R24" s="4"/>
      <c r="S24" s="4"/>
      <c r="T24" s="4"/>
      <c r="U24" s="4"/>
      <c r="V24" s="4"/>
      <c r="W24" s="4"/>
      <c r="X24" s="4"/>
      <c r="Y24" s="4"/>
      <c r="Z24" s="4"/>
    </row>
    <row r="25" spans="1:26" ht="94.35" customHeight="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4"/>
      <c r="Q25" s="15"/>
      <c r="R25" s="4"/>
      <c r="S25" s="4"/>
      <c r="T25" s="4"/>
      <c r="U25" s="4"/>
      <c r="V25" s="4"/>
      <c r="W25" s="4"/>
      <c r="X25" s="4"/>
      <c r="Y25" s="4"/>
      <c r="Z25" s="4"/>
    </row>
    <row r="26" spans="1:26" ht="94.35" customHeight="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4"/>
      <c r="Q26" s="15"/>
      <c r="R26" s="4"/>
      <c r="S26" s="4"/>
      <c r="T26" s="4"/>
      <c r="U26" s="4"/>
      <c r="V26" s="4"/>
      <c r="W26" s="4"/>
      <c r="X26" s="4"/>
      <c r="Y26" s="4"/>
      <c r="Z26" s="4"/>
    </row>
    <row r="27" spans="1:26" ht="94.35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4"/>
      <c r="Q27" s="15"/>
      <c r="R27" s="4"/>
      <c r="S27" s="4"/>
      <c r="T27" s="4"/>
      <c r="U27" s="4"/>
      <c r="V27" s="4"/>
      <c r="W27" s="4"/>
      <c r="X27" s="4"/>
      <c r="Y27" s="4"/>
      <c r="Z27" s="4"/>
    </row>
    <row r="28" spans="1:26" ht="94.3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4"/>
      <c r="Q28" s="15"/>
      <c r="R28" s="4"/>
      <c r="S28" s="4"/>
      <c r="T28" s="4"/>
      <c r="U28" s="4"/>
      <c r="V28" s="4"/>
      <c r="W28" s="4"/>
      <c r="X28" s="4"/>
      <c r="Y28" s="4"/>
      <c r="Z28" s="4"/>
    </row>
    <row r="29" spans="1:26" ht="94.3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4"/>
      <c r="Q29" s="15"/>
      <c r="R29" s="4"/>
      <c r="S29" s="4"/>
      <c r="T29" s="4"/>
      <c r="U29" s="4"/>
      <c r="V29" s="4"/>
      <c r="W29" s="4"/>
      <c r="X29" s="4"/>
      <c r="Y29" s="4"/>
      <c r="Z29" s="4"/>
    </row>
    <row r="30" spans="1:26" ht="94.35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4"/>
      <c r="Q30" s="15"/>
      <c r="R30" s="4"/>
      <c r="S30" s="4"/>
      <c r="T30" s="4"/>
      <c r="U30" s="4"/>
      <c r="V30" s="4"/>
      <c r="W30" s="4"/>
      <c r="X30" s="4"/>
      <c r="Y30" s="4"/>
      <c r="Z30" s="4"/>
    </row>
    <row r="31" spans="1:26" ht="94.3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4"/>
      <c r="Q31" s="15"/>
      <c r="R31" s="4"/>
      <c r="S31" s="4"/>
      <c r="T31" s="4"/>
      <c r="U31" s="4"/>
      <c r="V31" s="4"/>
      <c r="W31" s="4"/>
      <c r="X31" s="4"/>
      <c r="Y31" s="4"/>
      <c r="Z31" s="4"/>
    </row>
    <row r="32" spans="1:26" ht="94.3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4"/>
      <c r="Q32" s="15"/>
      <c r="R32" s="4"/>
      <c r="S32" s="4"/>
      <c r="T32" s="4"/>
      <c r="U32" s="4"/>
      <c r="V32" s="4"/>
      <c r="W32" s="4"/>
      <c r="X32" s="4"/>
      <c r="Y32" s="4"/>
      <c r="Z32" s="4"/>
    </row>
    <row r="33" spans="1:26" ht="94.3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4"/>
      <c r="Q33" s="15"/>
      <c r="R33" s="4"/>
      <c r="S33" s="4"/>
      <c r="T33" s="4"/>
      <c r="U33" s="4"/>
      <c r="V33" s="4"/>
      <c r="W33" s="4"/>
      <c r="X33" s="4"/>
      <c r="Y33" s="4"/>
      <c r="Z33" s="4"/>
    </row>
    <row r="34" spans="1:26" ht="94.3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4"/>
      <c r="Q34" s="15"/>
      <c r="R34" s="4"/>
      <c r="S34" s="4"/>
      <c r="T34" s="4"/>
      <c r="U34" s="4"/>
      <c r="V34" s="4"/>
      <c r="W34" s="4"/>
      <c r="X34" s="4"/>
      <c r="Y34" s="4"/>
      <c r="Z34" s="4"/>
    </row>
    <row r="35" spans="1:26" ht="94.3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4"/>
      <c r="Q35" s="15"/>
      <c r="R35" s="4"/>
      <c r="S35" s="4"/>
      <c r="T35" s="4"/>
      <c r="U35" s="4"/>
      <c r="V35" s="4"/>
      <c r="W35" s="4"/>
      <c r="X35" s="4"/>
      <c r="Y35" s="4"/>
      <c r="Z35" s="4"/>
    </row>
    <row r="36" spans="1:26" ht="94.35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4"/>
      <c r="Q36" s="15"/>
      <c r="R36" s="4"/>
      <c r="S36" s="4"/>
      <c r="T36" s="4"/>
      <c r="U36" s="4"/>
      <c r="V36" s="4"/>
      <c r="W36" s="4"/>
      <c r="X36" s="4"/>
      <c r="Y36" s="4"/>
      <c r="Z36" s="4"/>
    </row>
    <row r="37" spans="1:26" ht="94.35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4"/>
      <c r="Q37" s="15"/>
      <c r="R37" s="4"/>
      <c r="S37" s="4"/>
      <c r="T37" s="4"/>
      <c r="U37" s="4"/>
      <c r="V37" s="4"/>
      <c r="W37" s="4"/>
      <c r="X37" s="4"/>
      <c r="Y37" s="4"/>
      <c r="Z37" s="4"/>
    </row>
    <row r="38" spans="1:26" ht="94.35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4"/>
      <c r="Q38" s="15"/>
      <c r="R38" s="4"/>
      <c r="S38" s="4"/>
      <c r="T38" s="4"/>
      <c r="U38" s="4"/>
      <c r="V38" s="4"/>
      <c r="W38" s="4"/>
      <c r="X38" s="4"/>
      <c r="Y38" s="4"/>
      <c r="Z38" s="4"/>
    </row>
    <row r="39" spans="1:26" ht="94.3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4"/>
      <c r="Q39" s="15"/>
      <c r="R39" s="4"/>
      <c r="S39" s="4"/>
      <c r="T39" s="4"/>
      <c r="U39" s="4"/>
      <c r="V39" s="4"/>
      <c r="W39" s="4"/>
      <c r="X39" s="4"/>
      <c r="Y39" s="4"/>
      <c r="Z39" s="4"/>
    </row>
    <row r="40" spans="1:26" ht="94.3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4"/>
      <c r="Q40" s="15"/>
      <c r="R40" s="4"/>
      <c r="S40" s="4"/>
      <c r="T40" s="4"/>
      <c r="U40" s="4"/>
      <c r="V40" s="4"/>
      <c r="W40" s="4"/>
      <c r="X40" s="4"/>
      <c r="Y40" s="4"/>
      <c r="Z40" s="4"/>
    </row>
    <row r="41" spans="1:26" ht="94.3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4"/>
      <c r="Q41" s="15"/>
      <c r="R41" s="4"/>
      <c r="S41" s="4"/>
      <c r="T41" s="4"/>
      <c r="U41" s="4"/>
      <c r="V41" s="4"/>
      <c r="W41" s="4"/>
      <c r="X41" s="4"/>
      <c r="Y41" s="4"/>
      <c r="Z41" s="4"/>
    </row>
    <row r="42" spans="1:26" ht="94.3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4"/>
      <c r="Q42" s="15"/>
      <c r="R42" s="4"/>
      <c r="S42" s="4"/>
      <c r="T42" s="4"/>
      <c r="U42" s="4"/>
      <c r="V42" s="4"/>
      <c r="W42" s="4"/>
      <c r="X42" s="4"/>
      <c r="Y42" s="4"/>
      <c r="Z42" s="4"/>
    </row>
    <row r="43" spans="1:26" ht="94.35" customHeight="1" x14ac:dyDescent="0.2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4"/>
      <c r="Q43" s="15"/>
      <c r="R43" s="4"/>
      <c r="S43" s="4"/>
      <c r="T43" s="4"/>
      <c r="U43" s="4"/>
      <c r="V43" s="4"/>
      <c r="W43" s="4"/>
      <c r="X43" s="4"/>
      <c r="Y43" s="4"/>
      <c r="Z43" s="4"/>
    </row>
    <row r="44" spans="1:26" ht="94.35" customHeight="1" x14ac:dyDescent="0.2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4"/>
      <c r="Q44" s="15"/>
      <c r="R44" s="4"/>
      <c r="S44" s="4"/>
      <c r="T44" s="4"/>
      <c r="U44" s="4"/>
      <c r="V44" s="4"/>
      <c r="W44" s="4"/>
      <c r="X44" s="4"/>
      <c r="Y44" s="4"/>
      <c r="Z44" s="4"/>
    </row>
    <row r="45" spans="1:26" ht="94.35" customHeight="1" x14ac:dyDescent="0.2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4"/>
      <c r="Q45" s="15"/>
      <c r="R45" s="4"/>
      <c r="S45" s="4"/>
      <c r="T45" s="4"/>
      <c r="U45" s="4"/>
      <c r="V45" s="4"/>
      <c r="W45" s="4"/>
      <c r="X45" s="4"/>
      <c r="Y45" s="4"/>
      <c r="Z45" s="4"/>
    </row>
    <row r="46" spans="1:26" ht="94.35" customHeight="1" x14ac:dyDescent="0.2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4"/>
      <c r="Q46" s="15"/>
      <c r="R46" s="4"/>
      <c r="S46" s="4"/>
      <c r="T46" s="4"/>
      <c r="U46" s="4"/>
      <c r="V46" s="4"/>
      <c r="W46" s="4"/>
      <c r="X46" s="4"/>
      <c r="Y46" s="4"/>
      <c r="Z46" s="4"/>
    </row>
    <row r="47" spans="1:26" ht="94.35" customHeight="1" x14ac:dyDescent="0.2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4"/>
      <c r="Q47" s="15"/>
      <c r="R47" s="4"/>
      <c r="S47" s="4"/>
      <c r="T47" s="4"/>
      <c r="U47" s="4"/>
      <c r="V47" s="4"/>
      <c r="W47" s="4"/>
      <c r="X47" s="4"/>
      <c r="Y47" s="4"/>
      <c r="Z47" s="4"/>
    </row>
    <row r="48" spans="1:26" ht="94.35" customHeight="1" x14ac:dyDescent="0.2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4"/>
      <c r="Q48" s="15"/>
      <c r="R48" s="4"/>
      <c r="S48" s="4"/>
      <c r="T48" s="4"/>
      <c r="U48" s="4"/>
      <c r="V48" s="4"/>
      <c r="W48" s="4"/>
      <c r="X48" s="4"/>
      <c r="Y48" s="4"/>
      <c r="Z48" s="4"/>
    </row>
    <row r="49" spans="1:26" ht="94.35" customHeight="1" x14ac:dyDescent="0.2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4"/>
      <c r="Q49" s="15"/>
      <c r="R49" s="4"/>
      <c r="S49" s="4"/>
      <c r="T49" s="4"/>
      <c r="U49" s="4"/>
      <c r="V49" s="4"/>
      <c r="W49" s="4"/>
      <c r="X49" s="4"/>
      <c r="Y49" s="4"/>
      <c r="Z49" s="4"/>
    </row>
    <row r="50" spans="1:26" ht="94.35" customHeight="1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4"/>
      <c r="Q50" s="15"/>
      <c r="R50" s="4"/>
      <c r="S50" s="4"/>
      <c r="T50" s="4"/>
      <c r="U50" s="4"/>
      <c r="V50" s="4"/>
      <c r="W50" s="4"/>
      <c r="X50" s="4"/>
      <c r="Y50" s="4"/>
      <c r="Z50" s="4"/>
    </row>
    <row r="51" spans="1:26" ht="94.35" customHeight="1" x14ac:dyDescent="0.2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4"/>
      <c r="Q51" s="15"/>
      <c r="R51" s="4"/>
      <c r="S51" s="4"/>
      <c r="T51" s="4"/>
      <c r="U51" s="4"/>
      <c r="V51" s="4"/>
      <c r="W51" s="4"/>
      <c r="X51" s="4"/>
      <c r="Y51" s="4"/>
      <c r="Z51" s="4"/>
    </row>
    <row r="52" spans="1:26" ht="94.35" customHeight="1" x14ac:dyDescent="0.2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4"/>
      <c r="Q52" s="15"/>
      <c r="R52" s="4"/>
      <c r="S52" s="4"/>
      <c r="T52" s="4"/>
      <c r="U52" s="4"/>
      <c r="V52" s="4"/>
      <c r="W52" s="4"/>
      <c r="X52" s="4"/>
      <c r="Y52" s="4"/>
      <c r="Z52" s="4"/>
    </row>
    <row r="53" spans="1:26" ht="94.35" customHeight="1" x14ac:dyDescent="0.2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4"/>
      <c r="Q53" s="15"/>
      <c r="R53" s="4"/>
      <c r="S53" s="4"/>
      <c r="T53" s="4"/>
      <c r="U53" s="4"/>
      <c r="V53" s="4"/>
      <c r="W53" s="4"/>
      <c r="X53" s="4"/>
      <c r="Y53" s="4"/>
      <c r="Z53" s="4"/>
    </row>
    <row r="54" spans="1:26" ht="94.35" customHeight="1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4"/>
      <c r="Q54" s="15"/>
      <c r="R54" s="4"/>
      <c r="S54" s="4"/>
      <c r="T54" s="4"/>
      <c r="U54" s="4"/>
      <c r="V54" s="4"/>
      <c r="W54" s="4"/>
      <c r="X54" s="4"/>
      <c r="Y54" s="4"/>
      <c r="Z54" s="4"/>
    </row>
    <row r="55" spans="1:26" ht="94.35" customHeight="1" x14ac:dyDescent="0.2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4"/>
      <c r="Q55" s="15"/>
      <c r="R55" s="4"/>
      <c r="S55" s="4"/>
      <c r="T55" s="4"/>
      <c r="U55" s="4"/>
      <c r="V55" s="4"/>
      <c r="W55" s="4"/>
      <c r="X55" s="4"/>
      <c r="Y55" s="4"/>
      <c r="Z55" s="4"/>
    </row>
    <row r="56" spans="1:26" ht="94.35" customHeight="1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4"/>
      <c r="Q56" s="15"/>
      <c r="R56" s="4"/>
      <c r="S56" s="4"/>
      <c r="T56" s="4"/>
      <c r="U56" s="4"/>
      <c r="V56" s="4"/>
      <c r="W56" s="4"/>
      <c r="X56" s="4"/>
      <c r="Y56" s="4"/>
      <c r="Z56" s="4"/>
    </row>
    <row r="57" spans="1:26" ht="94.35" customHeight="1" x14ac:dyDescent="0.2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4"/>
      <c r="Q57" s="15"/>
      <c r="R57" s="4"/>
      <c r="S57" s="4"/>
      <c r="T57" s="4"/>
      <c r="U57" s="4"/>
      <c r="V57" s="4"/>
      <c r="W57" s="4"/>
      <c r="X57" s="4"/>
      <c r="Y57" s="4"/>
      <c r="Z57" s="4"/>
    </row>
    <row r="58" spans="1:26" ht="94.35" customHeight="1" x14ac:dyDescent="0.2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4"/>
      <c r="Q58" s="15"/>
      <c r="R58" s="4"/>
      <c r="S58" s="4"/>
      <c r="T58" s="4"/>
      <c r="U58" s="4"/>
      <c r="V58" s="4"/>
      <c r="W58" s="4"/>
      <c r="X58" s="4"/>
      <c r="Y58" s="4"/>
      <c r="Z58" s="4"/>
    </row>
    <row r="59" spans="1:26" ht="94.35" customHeight="1" x14ac:dyDescent="0.2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4"/>
      <c r="Q59" s="15"/>
      <c r="R59" s="4"/>
      <c r="S59" s="4"/>
      <c r="T59" s="4"/>
      <c r="U59" s="4"/>
      <c r="V59" s="4"/>
      <c r="W59" s="4"/>
      <c r="X59" s="4"/>
      <c r="Y59" s="4"/>
      <c r="Z59" s="4"/>
    </row>
    <row r="60" spans="1:26" ht="94.35" customHeight="1" x14ac:dyDescent="0.2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4"/>
      <c r="Q60" s="15"/>
      <c r="R60" s="4"/>
      <c r="S60" s="4"/>
      <c r="T60" s="4"/>
      <c r="U60" s="4"/>
      <c r="V60" s="4"/>
      <c r="W60" s="4"/>
      <c r="X60" s="4"/>
      <c r="Y60" s="4"/>
      <c r="Z60" s="4"/>
    </row>
    <row r="61" spans="1:26" ht="94.35" customHeight="1" x14ac:dyDescent="0.2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4"/>
      <c r="Q61" s="15"/>
      <c r="R61" s="4"/>
      <c r="S61" s="4"/>
      <c r="T61" s="4"/>
      <c r="U61" s="4"/>
      <c r="V61" s="4"/>
      <c r="W61" s="4"/>
      <c r="X61" s="4"/>
      <c r="Y61" s="4"/>
      <c r="Z61" s="4"/>
    </row>
    <row r="62" spans="1:26" ht="94.35" customHeight="1" x14ac:dyDescent="0.2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4"/>
      <c r="Q62" s="15"/>
      <c r="R62" s="4"/>
      <c r="S62" s="4"/>
      <c r="T62" s="4"/>
      <c r="U62" s="4"/>
      <c r="V62" s="4"/>
      <c r="W62" s="4"/>
      <c r="X62" s="4"/>
      <c r="Y62" s="4"/>
      <c r="Z62" s="4"/>
    </row>
    <row r="63" spans="1:26" ht="94.35" customHeight="1" x14ac:dyDescent="0.2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4"/>
      <c r="Q63" s="15"/>
      <c r="R63" s="4"/>
      <c r="S63" s="4"/>
      <c r="T63" s="4"/>
      <c r="U63" s="4"/>
      <c r="V63" s="4"/>
      <c r="W63" s="4"/>
      <c r="X63" s="4"/>
      <c r="Y63" s="4"/>
      <c r="Z63" s="4"/>
    </row>
    <row r="64" spans="1:26" ht="94.35" customHeight="1" x14ac:dyDescent="0.2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4"/>
      <c r="Q64" s="15"/>
      <c r="R64" s="4"/>
      <c r="S64" s="4"/>
      <c r="T64" s="4"/>
      <c r="U64" s="4"/>
      <c r="V64" s="4"/>
      <c r="W64" s="4"/>
      <c r="X64" s="4"/>
      <c r="Y64" s="4"/>
      <c r="Z64" s="4"/>
    </row>
    <row r="65" spans="1:26" ht="94.35" customHeight="1" x14ac:dyDescent="0.2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4"/>
      <c r="Q65" s="15"/>
      <c r="R65" s="4"/>
      <c r="S65" s="4"/>
      <c r="T65" s="4"/>
      <c r="U65" s="4"/>
      <c r="V65" s="4"/>
      <c r="W65" s="4"/>
      <c r="X65" s="4"/>
      <c r="Y65" s="4"/>
      <c r="Z65" s="4"/>
    </row>
    <row r="66" spans="1:26" ht="94.35" customHeight="1" x14ac:dyDescent="0.2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4"/>
      <c r="Q66" s="15"/>
      <c r="R66" s="4"/>
      <c r="S66" s="4"/>
      <c r="T66" s="4"/>
      <c r="U66" s="4"/>
      <c r="V66" s="4"/>
      <c r="W66" s="4"/>
      <c r="X66" s="4"/>
      <c r="Y66" s="4"/>
      <c r="Z66" s="4"/>
    </row>
    <row r="67" spans="1:26" ht="94.35" customHeight="1" x14ac:dyDescent="0.2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4"/>
      <c r="Q67" s="15"/>
      <c r="R67" s="4"/>
      <c r="S67" s="4"/>
      <c r="T67" s="4"/>
      <c r="U67" s="4"/>
      <c r="V67" s="4"/>
      <c r="W67" s="4"/>
      <c r="X67" s="4"/>
      <c r="Y67" s="4"/>
      <c r="Z67" s="4"/>
    </row>
    <row r="68" spans="1:26" ht="94.35" customHeight="1" x14ac:dyDescent="0.2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4"/>
      <c r="Q68" s="15"/>
      <c r="R68" s="4"/>
      <c r="S68" s="4"/>
      <c r="T68" s="4"/>
      <c r="U68" s="4"/>
      <c r="V68" s="4"/>
      <c r="W68" s="4"/>
      <c r="X68" s="4"/>
      <c r="Y68" s="4"/>
      <c r="Z68" s="4"/>
    </row>
    <row r="69" spans="1:26" ht="94.35" customHeight="1" x14ac:dyDescent="0.2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4"/>
      <c r="Q69" s="15"/>
      <c r="R69" s="4"/>
      <c r="S69" s="4"/>
      <c r="T69" s="4"/>
      <c r="U69" s="4"/>
      <c r="V69" s="4"/>
      <c r="W69" s="4"/>
      <c r="X69" s="4"/>
      <c r="Y69" s="4"/>
      <c r="Z69" s="4"/>
    </row>
    <row r="70" spans="1:26" ht="94.35" customHeight="1" x14ac:dyDescent="0.2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4"/>
      <c r="Q70" s="15"/>
      <c r="R70" s="4"/>
      <c r="S70" s="4"/>
      <c r="T70" s="4"/>
      <c r="U70" s="4"/>
      <c r="V70" s="4"/>
      <c r="W70" s="4"/>
      <c r="X70" s="4"/>
      <c r="Y70" s="4"/>
      <c r="Z70" s="4"/>
    </row>
    <row r="71" spans="1:26" ht="94.35" customHeight="1" x14ac:dyDescent="0.2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4"/>
      <c r="Q71" s="15"/>
      <c r="R71" s="4"/>
      <c r="S71" s="4"/>
      <c r="T71" s="4"/>
      <c r="U71" s="4"/>
      <c r="V71" s="4"/>
      <c r="W71" s="4"/>
      <c r="X71" s="4"/>
      <c r="Y71" s="4"/>
      <c r="Z71" s="4"/>
    </row>
    <row r="72" spans="1:26" ht="94.35" customHeight="1" x14ac:dyDescent="0.2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4"/>
      <c r="Q72" s="15"/>
      <c r="R72" s="4"/>
      <c r="S72" s="4"/>
      <c r="T72" s="4"/>
      <c r="U72" s="4"/>
      <c r="V72" s="4"/>
      <c r="W72" s="4"/>
      <c r="X72" s="4"/>
      <c r="Y72" s="4"/>
      <c r="Z72" s="4"/>
    </row>
    <row r="73" spans="1:26" ht="94.35" customHeight="1" x14ac:dyDescent="0.2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4"/>
      <c r="Q73" s="15"/>
      <c r="R73" s="4"/>
      <c r="S73" s="4"/>
      <c r="T73" s="4"/>
      <c r="U73" s="4"/>
      <c r="V73" s="4"/>
      <c r="W73" s="4"/>
      <c r="X73" s="4"/>
      <c r="Y73" s="4"/>
      <c r="Z73" s="4"/>
    </row>
    <row r="74" spans="1:26" ht="94.35" customHeight="1" x14ac:dyDescent="0.2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4"/>
      <c r="Q74" s="15"/>
      <c r="R74" s="4"/>
      <c r="S74" s="4"/>
      <c r="T74" s="4"/>
      <c r="U74" s="4"/>
      <c r="V74" s="4"/>
      <c r="W74" s="4"/>
      <c r="X74" s="4"/>
      <c r="Y74" s="4"/>
      <c r="Z74" s="4"/>
    </row>
    <row r="75" spans="1:26" ht="94.35" customHeight="1" x14ac:dyDescent="0.2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4"/>
      <c r="Q75" s="15"/>
      <c r="R75" s="4"/>
      <c r="S75" s="4"/>
      <c r="T75" s="4"/>
      <c r="U75" s="4"/>
      <c r="V75" s="4"/>
      <c r="W75" s="4"/>
      <c r="X75" s="4"/>
      <c r="Y75" s="4"/>
      <c r="Z75" s="4"/>
    </row>
    <row r="76" spans="1:26" ht="94.35" customHeight="1" x14ac:dyDescent="0.2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4"/>
      <c r="Q76" s="15"/>
      <c r="R76" s="4"/>
      <c r="S76" s="4"/>
      <c r="T76" s="4"/>
      <c r="U76" s="4"/>
      <c r="V76" s="4"/>
      <c r="W76" s="4"/>
      <c r="X76" s="4"/>
      <c r="Y76" s="4"/>
      <c r="Z76" s="4"/>
    </row>
    <row r="77" spans="1:26" ht="94.35" customHeight="1" x14ac:dyDescent="0.2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4"/>
      <c r="Q77" s="15"/>
      <c r="R77" s="4"/>
      <c r="S77" s="4"/>
      <c r="T77" s="4"/>
      <c r="U77" s="4"/>
      <c r="V77" s="4"/>
      <c r="W77" s="4"/>
      <c r="X77" s="4"/>
      <c r="Y77" s="4"/>
      <c r="Z77" s="4"/>
    </row>
    <row r="78" spans="1:26" ht="94.35" customHeight="1" x14ac:dyDescent="0.2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4"/>
      <c r="Q78" s="15"/>
      <c r="R78" s="4"/>
      <c r="S78" s="4"/>
      <c r="T78" s="4"/>
      <c r="U78" s="4"/>
      <c r="V78" s="4"/>
      <c r="W78" s="4"/>
      <c r="X78" s="4"/>
      <c r="Y78" s="4"/>
      <c r="Z78" s="4"/>
    </row>
    <row r="79" spans="1:26" ht="94.35" customHeight="1" x14ac:dyDescent="0.2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4"/>
      <c r="Q79" s="15"/>
      <c r="R79" s="4"/>
      <c r="S79" s="4"/>
      <c r="T79" s="4"/>
      <c r="U79" s="4"/>
      <c r="V79" s="4"/>
      <c r="W79" s="4"/>
      <c r="X79" s="4"/>
      <c r="Y79" s="4"/>
      <c r="Z79" s="4"/>
    </row>
    <row r="80" spans="1:26" ht="94.35" customHeight="1" x14ac:dyDescent="0.2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4"/>
      <c r="Q80" s="15"/>
      <c r="R80" s="4"/>
      <c r="S80" s="4"/>
      <c r="T80" s="4"/>
      <c r="U80" s="4"/>
      <c r="V80" s="4"/>
      <c r="W80" s="4"/>
      <c r="X80" s="4"/>
      <c r="Y80" s="4"/>
      <c r="Z80" s="4"/>
    </row>
    <row r="81" spans="1:26" ht="94.3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15"/>
      <c r="R81" s="4"/>
      <c r="S81" s="4"/>
      <c r="T81" s="4"/>
      <c r="U81" s="4"/>
      <c r="V81" s="4"/>
      <c r="W81" s="4"/>
      <c r="X81" s="4"/>
      <c r="Y81" s="4"/>
      <c r="Z81" s="4"/>
    </row>
    <row r="82" spans="1:26" ht="94.3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15"/>
      <c r="R82" s="4"/>
      <c r="S82" s="4"/>
      <c r="T82" s="4"/>
      <c r="U82" s="4"/>
      <c r="V82" s="4"/>
      <c r="W82" s="4"/>
      <c r="X82" s="4"/>
      <c r="Y82" s="4"/>
      <c r="Z82" s="4"/>
    </row>
    <row r="83" spans="1:26" ht="94.3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15"/>
      <c r="R83" s="4"/>
      <c r="S83" s="4"/>
      <c r="T83" s="4"/>
      <c r="U83" s="4"/>
      <c r="V83" s="4"/>
      <c r="W83" s="4"/>
      <c r="X83" s="4"/>
      <c r="Y83" s="4"/>
      <c r="Z83" s="4"/>
    </row>
    <row r="84" spans="1:26" ht="94.3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15"/>
      <c r="R84" s="4"/>
      <c r="S84" s="4"/>
      <c r="T84" s="4"/>
      <c r="U84" s="4"/>
      <c r="V84" s="4"/>
      <c r="W84" s="4"/>
      <c r="X84" s="4"/>
      <c r="Y84" s="4"/>
      <c r="Z84" s="4"/>
    </row>
    <row r="85" spans="1:26" ht="94.3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15"/>
      <c r="R85" s="4"/>
      <c r="S85" s="4"/>
      <c r="T85" s="4"/>
      <c r="U85" s="4"/>
      <c r="V85" s="4"/>
      <c r="W85" s="4"/>
      <c r="X85" s="4"/>
      <c r="Y85" s="4"/>
      <c r="Z85" s="4"/>
    </row>
    <row r="86" spans="1:26" ht="94.3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15"/>
      <c r="R86" s="4"/>
      <c r="S86" s="4"/>
      <c r="T86" s="4"/>
      <c r="U86" s="4"/>
      <c r="V86" s="4"/>
      <c r="W86" s="4"/>
      <c r="X86" s="4"/>
      <c r="Y86" s="4"/>
      <c r="Z86" s="4"/>
    </row>
    <row r="87" spans="1:26" ht="94.3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15"/>
      <c r="R87" s="4"/>
      <c r="S87" s="4"/>
      <c r="T87" s="4"/>
      <c r="U87" s="4"/>
      <c r="V87" s="4"/>
      <c r="W87" s="4"/>
      <c r="X87" s="4"/>
      <c r="Y87" s="4"/>
      <c r="Z87" s="4"/>
    </row>
    <row r="88" spans="1:26" ht="94.3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15"/>
      <c r="R88" s="4"/>
      <c r="S88" s="4"/>
      <c r="T88" s="4"/>
      <c r="U88" s="4"/>
      <c r="V88" s="4"/>
      <c r="W88" s="4"/>
      <c r="X88" s="4"/>
      <c r="Y88" s="4"/>
      <c r="Z88" s="4"/>
    </row>
    <row r="89" spans="1:26" ht="94.3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15"/>
      <c r="R89" s="4"/>
      <c r="S89" s="4"/>
      <c r="T89" s="4"/>
      <c r="U89" s="4"/>
      <c r="V89" s="4"/>
      <c r="W89" s="4"/>
      <c r="X89" s="4"/>
      <c r="Y89" s="4"/>
      <c r="Z89" s="4"/>
    </row>
    <row r="90" spans="1:26" ht="94.3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15"/>
      <c r="R90" s="4"/>
      <c r="S90" s="4"/>
      <c r="T90" s="4"/>
      <c r="U90" s="4"/>
      <c r="V90" s="4"/>
      <c r="W90" s="4"/>
      <c r="X90" s="4"/>
      <c r="Y90" s="4"/>
      <c r="Z90" s="4"/>
    </row>
    <row r="91" spans="1:26" ht="94.3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15"/>
      <c r="R91" s="4"/>
      <c r="S91" s="4"/>
      <c r="T91" s="4"/>
      <c r="U91" s="4"/>
      <c r="V91" s="4"/>
      <c r="W91" s="4"/>
      <c r="X91" s="4"/>
      <c r="Y91" s="4"/>
      <c r="Z91" s="4"/>
    </row>
    <row r="92" spans="1:26" ht="94.3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15"/>
      <c r="R92" s="4"/>
      <c r="S92" s="4"/>
      <c r="T92" s="4"/>
      <c r="U92" s="4"/>
      <c r="V92" s="4"/>
      <c r="W92" s="4"/>
      <c r="X92" s="4"/>
      <c r="Y92" s="4"/>
      <c r="Z92" s="4"/>
    </row>
    <row r="93" spans="1:26" ht="94.3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15"/>
      <c r="R93" s="4"/>
      <c r="S93" s="4"/>
      <c r="T93" s="4"/>
      <c r="U93" s="4"/>
      <c r="V93" s="4"/>
      <c r="W93" s="4"/>
      <c r="X93" s="4"/>
      <c r="Y93" s="4"/>
      <c r="Z93" s="4"/>
    </row>
    <row r="94" spans="1:26" ht="94.3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15"/>
      <c r="R94" s="4"/>
      <c r="S94" s="4"/>
      <c r="T94" s="4"/>
      <c r="U94" s="4"/>
      <c r="V94" s="4"/>
      <c r="W94" s="4"/>
      <c r="X94" s="4"/>
      <c r="Y94" s="4"/>
      <c r="Z94" s="4"/>
    </row>
    <row r="95" spans="1:26" ht="94.3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15"/>
      <c r="R95" s="4"/>
      <c r="S95" s="4"/>
      <c r="T95" s="4"/>
      <c r="U95" s="4"/>
      <c r="V95" s="4"/>
      <c r="W95" s="4"/>
      <c r="X95" s="4"/>
      <c r="Y95" s="4"/>
      <c r="Z95" s="4"/>
    </row>
    <row r="96" spans="1:26" ht="94.3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15"/>
      <c r="R96" s="4"/>
      <c r="S96" s="4"/>
      <c r="T96" s="4"/>
      <c r="U96" s="4"/>
      <c r="V96" s="4"/>
      <c r="W96" s="4"/>
      <c r="X96" s="4"/>
      <c r="Y96" s="4"/>
      <c r="Z96" s="4"/>
    </row>
    <row r="97" spans="1:26" ht="94.3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15"/>
      <c r="R97" s="4"/>
      <c r="S97" s="4"/>
      <c r="T97" s="4"/>
      <c r="U97" s="4"/>
      <c r="V97" s="4"/>
      <c r="W97" s="4"/>
      <c r="X97" s="4"/>
      <c r="Y97" s="4"/>
      <c r="Z97" s="4"/>
    </row>
    <row r="98" spans="1:26" ht="94.3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15"/>
      <c r="R98" s="4"/>
      <c r="S98" s="4"/>
      <c r="T98" s="4"/>
      <c r="U98" s="4"/>
      <c r="V98" s="4"/>
      <c r="W98" s="4"/>
      <c r="X98" s="4"/>
      <c r="Y98" s="4"/>
      <c r="Z98" s="4"/>
    </row>
    <row r="99" spans="1:26" ht="94.3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15"/>
      <c r="R99" s="4"/>
      <c r="S99" s="4"/>
      <c r="T99" s="4"/>
      <c r="U99" s="4"/>
      <c r="V99" s="4"/>
      <c r="W99" s="4"/>
      <c r="X99" s="4"/>
      <c r="Y99" s="4"/>
      <c r="Z99" s="4"/>
    </row>
    <row r="100" spans="1:26" ht="94.3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15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0.199999999999999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15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0.199999999999999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15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0.199999999999999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15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0.199999999999999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15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0.199999999999999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15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0.199999999999999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15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0.199999999999999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15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0.199999999999999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15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0.199999999999999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15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0.199999999999999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15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0.199999999999999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15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0.199999999999999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15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0.199999999999999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15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0.199999999999999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15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0.199999999999999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15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0.199999999999999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15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0.199999999999999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15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0.199999999999999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15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0.199999999999999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15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0.199999999999999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15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0.199999999999999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15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0.199999999999999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15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0.199999999999999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15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0.199999999999999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15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0.199999999999999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15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0.199999999999999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15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0.199999999999999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15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0.199999999999999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15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0.199999999999999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15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0.199999999999999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15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0.199999999999999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15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0.199999999999999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15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0.199999999999999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15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0.199999999999999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15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0.199999999999999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15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0.199999999999999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15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0.199999999999999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15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0.199999999999999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15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0.199999999999999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15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0.199999999999999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15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0.199999999999999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15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0.199999999999999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15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0.199999999999999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15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0.199999999999999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15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0.199999999999999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15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0.199999999999999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15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0.199999999999999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15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0.199999999999999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15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0.199999999999999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15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0.199999999999999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15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0.199999999999999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15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0.199999999999999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15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0.199999999999999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15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0.199999999999999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15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0.199999999999999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15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0.199999999999999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15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0.199999999999999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15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0.199999999999999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15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0.199999999999999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15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0.199999999999999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15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0.199999999999999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15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0.199999999999999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15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0.199999999999999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15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0.199999999999999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15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0.199999999999999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15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0.199999999999999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15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0.199999999999999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15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0.199999999999999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15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0.199999999999999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15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0.199999999999999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15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0.199999999999999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15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0.199999999999999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15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0.199999999999999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15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0.199999999999999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15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0.199999999999999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15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0.199999999999999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15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0.199999999999999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15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0.199999999999999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15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0.199999999999999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15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0.199999999999999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15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0.199999999999999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15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0.199999999999999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15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0.199999999999999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15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0.199999999999999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15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0.199999999999999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15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0.199999999999999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15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0.199999999999999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15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0.199999999999999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15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0.199999999999999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15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0.199999999999999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15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0.199999999999999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15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0.199999999999999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15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0.199999999999999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15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0.199999999999999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15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0.199999999999999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15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0.199999999999999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15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0.199999999999999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15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0.199999999999999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15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0.199999999999999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15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0.199999999999999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15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0.199999999999999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15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0.199999999999999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15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0.199999999999999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15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0.199999999999999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15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0.199999999999999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15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0.199999999999999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15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0.199999999999999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15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0.199999999999999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15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0.199999999999999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15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0.199999999999999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15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0.199999999999999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15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0.199999999999999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15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0.199999999999999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15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0.199999999999999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15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0.199999999999999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15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0.199999999999999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15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0.199999999999999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15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0.199999999999999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15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0.199999999999999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15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0.199999999999999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15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0.199999999999999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15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0.199999999999999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15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0.199999999999999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15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0.199999999999999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15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0.199999999999999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15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0.199999999999999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15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0.199999999999999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15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0.199999999999999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15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0.199999999999999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15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0.199999999999999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15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0.199999999999999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15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0.199999999999999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15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0.199999999999999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15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0.199999999999999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15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0.199999999999999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15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0.199999999999999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15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0.199999999999999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15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0.199999999999999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15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0.199999999999999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15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0.199999999999999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15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0.199999999999999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15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0.199999999999999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15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0.199999999999999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15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0.199999999999999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15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0.199999999999999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15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0.199999999999999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15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0.199999999999999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15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0.199999999999999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15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0.199999999999999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15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0.199999999999999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15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0.199999999999999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15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0.199999999999999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15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0.199999999999999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15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0.199999999999999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15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0.199999999999999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15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0.199999999999999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15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0.199999999999999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15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0.199999999999999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15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0.199999999999999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15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0.199999999999999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15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0.199999999999999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15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0.199999999999999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15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0.199999999999999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15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0.199999999999999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15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0.199999999999999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15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0.199999999999999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15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0.199999999999999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15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0.199999999999999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15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0.199999999999999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15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0.199999999999999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15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0.199999999999999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15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0.199999999999999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15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0.199999999999999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15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0.199999999999999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15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0.199999999999999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15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0.199999999999999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15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0.199999999999999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15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0.199999999999999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15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0.199999999999999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15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0.199999999999999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15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0.199999999999999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15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0.199999999999999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15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0.199999999999999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15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0.199999999999999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15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0.199999999999999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15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0.199999999999999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15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0.199999999999999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15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0.199999999999999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15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0.199999999999999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15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0.199999999999999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15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0.199999999999999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15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0.199999999999999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15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0.199999999999999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15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0.199999999999999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15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0.199999999999999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15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0.199999999999999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15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0.199999999999999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15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0.199999999999999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15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0.199999999999999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15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0.199999999999999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15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0.199999999999999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15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0.199999999999999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15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0.199999999999999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15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0.199999999999999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15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0.199999999999999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15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0.199999999999999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15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0.199999999999999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15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0.199999999999999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15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0.199999999999999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15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0.199999999999999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15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0.199999999999999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15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0.199999999999999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15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0.199999999999999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15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0.199999999999999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15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0.199999999999999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15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0.199999999999999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15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0.199999999999999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15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0.199999999999999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15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0.199999999999999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15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0.199999999999999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15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0.199999999999999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15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0.199999999999999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15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0.199999999999999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15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0.199999999999999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15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0.199999999999999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15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0.199999999999999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15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0.199999999999999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15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0.199999999999999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15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0.199999999999999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15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0.199999999999999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15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0.199999999999999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15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0.199999999999999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15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0.199999999999999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15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0.199999999999999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15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0.199999999999999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15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0.199999999999999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15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0.199999999999999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15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0.199999999999999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15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0.199999999999999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15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0.199999999999999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15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0.199999999999999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15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0.199999999999999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15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0.199999999999999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15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0.199999999999999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15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0.199999999999999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15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0.199999999999999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15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0.199999999999999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15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0.199999999999999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15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0.199999999999999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15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0.199999999999999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15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0.199999999999999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15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0.199999999999999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15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0.199999999999999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15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0.199999999999999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15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0.199999999999999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15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0.199999999999999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15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0.199999999999999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15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0.199999999999999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15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0.199999999999999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15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0.199999999999999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15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0.199999999999999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15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0.199999999999999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15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0.199999999999999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15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0.199999999999999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15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0.199999999999999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15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0.199999999999999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15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0.199999999999999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15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0.199999999999999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15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0.199999999999999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15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0.199999999999999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15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0.199999999999999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15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0.199999999999999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15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0.199999999999999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15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0.199999999999999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15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0.199999999999999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15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0.199999999999999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15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0.199999999999999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15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0.199999999999999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15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0.199999999999999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15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0.199999999999999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15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0.199999999999999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15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0.199999999999999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15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0.199999999999999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15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0.199999999999999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15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0.199999999999999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15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0.199999999999999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15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0.199999999999999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15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0.199999999999999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15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0.199999999999999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15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0.199999999999999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15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0.199999999999999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15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0.199999999999999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15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0.199999999999999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15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0.199999999999999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15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0.199999999999999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15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0.199999999999999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15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0.199999999999999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15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0.199999999999999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15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0.199999999999999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15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0.199999999999999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15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0.199999999999999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15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0.199999999999999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15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0.199999999999999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15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0.199999999999999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15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0.199999999999999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15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0.199999999999999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15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0.199999999999999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15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0.199999999999999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15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0.199999999999999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15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0.199999999999999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15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0.199999999999999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15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0.199999999999999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15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0.199999999999999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15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0.199999999999999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15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0.199999999999999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15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0.199999999999999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15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0.199999999999999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15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0.199999999999999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15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0.199999999999999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15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0.199999999999999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15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0.199999999999999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15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0.199999999999999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15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0.199999999999999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15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0.199999999999999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15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0.199999999999999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15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0.199999999999999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15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0.199999999999999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15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0.199999999999999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15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0.199999999999999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15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0.199999999999999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15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0.199999999999999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15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0.199999999999999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15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0.199999999999999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15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0.199999999999999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15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0.199999999999999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15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0.199999999999999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15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0.199999999999999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15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0.199999999999999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15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0.199999999999999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15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0.199999999999999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15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0.199999999999999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15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0.199999999999999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15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0.199999999999999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15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0.199999999999999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15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0.199999999999999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15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0.199999999999999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15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0.199999999999999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15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0.199999999999999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15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0.199999999999999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15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0.199999999999999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15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0.199999999999999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15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0.199999999999999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15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0.199999999999999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15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0.199999999999999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15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0.199999999999999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15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0.199999999999999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15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0.199999999999999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15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0.199999999999999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15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0.199999999999999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15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0.199999999999999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15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0.199999999999999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15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0.199999999999999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15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0.199999999999999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15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0.199999999999999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15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0.199999999999999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15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0.199999999999999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15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0.199999999999999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15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0.199999999999999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15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0.199999999999999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15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0.199999999999999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15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0.199999999999999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15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0.199999999999999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15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0.199999999999999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15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0.199999999999999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15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0.199999999999999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15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0.199999999999999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15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0.199999999999999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15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0.199999999999999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15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0.199999999999999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15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0.199999999999999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15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0.199999999999999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15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0.199999999999999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15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0.199999999999999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15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0.199999999999999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15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0.199999999999999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15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0.199999999999999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15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0.199999999999999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15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0.199999999999999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15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0.199999999999999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15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0.199999999999999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15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0.199999999999999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15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0.199999999999999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15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0.199999999999999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15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0.199999999999999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15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0.199999999999999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15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0.199999999999999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15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0.199999999999999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15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0.199999999999999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15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0.199999999999999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15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0.199999999999999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15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0.199999999999999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15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0.199999999999999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15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0.199999999999999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15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0.199999999999999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15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0.199999999999999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15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0.199999999999999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15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0.199999999999999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15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0.199999999999999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15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0.199999999999999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15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0.199999999999999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15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0.199999999999999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15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0.199999999999999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15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0.199999999999999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15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0.199999999999999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15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0.199999999999999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15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0.199999999999999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15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0.199999999999999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15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0.199999999999999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15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0.199999999999999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15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0.199999999999999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15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0.199999999999999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15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0.199999999999999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15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0.199999999999999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15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0.199999999999999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15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0.199999999999999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15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0.199999999999999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15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0.199999999999999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15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0.199999999999999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15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0.199999999999999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15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0.199999999999999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15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0.199999999999999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15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0.199999999999999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15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0.199999999999999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15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0.199999999999999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15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0.199999999999999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15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0.199999999999999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15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0.199999999999999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15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0.199999999999999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15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0.199999999999999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15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0.199999999999999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15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0.199999999999999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15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0.199999999999999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15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0.199999999999999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15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0.199999999999999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15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0.199999999999999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15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0.199999999999999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15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0.199999999999999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15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0.199999999999999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15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0.199999999999999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15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0.199999999999999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15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0.199999999999999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15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0.199999999999999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15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0.199999999999999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15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0.199999999999999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15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0.199999999999999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15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0.199999999999999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15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0.199999999999999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15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0.199999999999999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15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0.199999999999999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15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0.199999999999999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15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0.199999999999999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15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0.199999999999999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15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0.199999999999999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15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0.199999999999999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15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0.199999999999999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15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0.199999999999999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15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0.199999999999999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15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0.199999999999999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15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0.199999999999999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15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0.199999999999999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15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0.199999999999999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15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0.199999999999999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15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0.199999999999999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15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0.199999999999999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15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0.199999999999999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15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0.199999999999999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15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0.199999999999999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15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0.199999999999999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15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0.199999999999999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15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0.199999999999999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15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0.199999999999999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15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0.199999999999999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15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0.199999999999999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15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0.199999999999999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15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0.199999999999999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15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0.199999999999999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15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0.199999999999999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15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0.199999999999999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15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0.199999999999999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15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0.199999999999999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15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0.199999999999999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15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0.199999999999999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15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0.199999999999999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15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0.199999999999999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15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0.199999999999999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15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0.199999999999999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15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0.199999999999999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15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0.199999999999999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15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0.199999999999999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15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0.199999999999999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15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0.199999999999999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15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0.199999999999999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15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0.199999999999999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15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0.199999999999999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15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0.199999999999999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15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0.199999999999999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15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0.199999999999999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15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0.199999999999999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15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0.199999999999999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15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0.199999999999999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15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0.199999999999999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15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0.199999999999999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15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0.199999999999999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15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0.199999999999999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15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0.199999999999999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15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0.199999999999999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15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0.199999999999999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15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0.199999999999999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15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0.199999999999999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15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0.199999999999999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15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0.199999999999999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15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0.199999999999999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15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0.199999999999999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15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0.199999999999999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15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0.199999999999999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15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0.199999999999999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15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0.199999999999999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15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0.199999999999999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15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0.199999999999999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15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0.199999999999999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15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0.199999999999999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15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0.199999999999999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15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0.199999999999999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15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0.199999999999999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15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0.199999999999999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15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0.199999999999999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15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0.199999999999999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15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0.199999999999999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15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0.199999999999999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15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0.199999999999999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15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0.199999999999999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15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0.199999999999999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15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0.199999999999999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15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0.199999999999999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15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0.199999999999999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15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0.199999999999999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15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0.199999999999999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15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0.199999999999999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15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0.199999999999999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15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0.199999999999999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15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0.199999999999999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15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0.199999999999999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15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0.199999999999999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15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0.199999999999999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15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0.199999999999999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15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0.199999999999999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15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0.199999999999999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15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0.199999999999999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15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0.199999999999999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15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0.199999999999999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15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0.199999999999999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15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0.199999999999999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15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0.199999999999999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15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0.199999999999999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15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0.199999999999999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15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0.199999999999999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15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0.199999999999999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15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0.199999999999999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15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0.199999999999999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15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0.199999999999999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15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0.199999999999999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15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0.199999999999999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15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0.199999999999999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15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0.199999999999999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15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0.199999999999999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15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0.199999999999999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15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0.199999999999999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15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0.199999999999999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15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0.199999999999999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15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0.199999999999999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15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0.199999999999999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15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0.199999999999999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15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0.199999999999999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15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0.199999999999999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15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0.199999999999999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15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0.199999999999999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15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0.199999999999999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15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0.199999999999999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15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0.199999999999999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15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0.199999999999999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15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0.199999999999999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15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0.199999999999999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15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0.199999999999999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15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0.199999999999999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15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0.199999999999999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15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0.199999999999999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15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0.199999999999999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15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0.199999999999999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15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0.199999999999999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15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0.199999999999999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15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0.199999999999999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15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0.199999999999999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15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0.199999999999999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15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0.199999999999999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15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0.199999999999999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15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0.199999999999999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15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0.199999999999999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15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0.199999999999999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15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0.199999999999999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15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0.199999999999999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15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0.199999999999999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15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0.199999999999999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15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0.199999999999999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15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0.199999999999999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15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0.199999999999999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15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0.199999999999999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15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0.199999999999999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15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0.199999999999999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15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0.199999999999999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15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0.199999999999999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15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0.199999999999999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15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0.199999999999999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15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0.199999999999999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15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0.199999999999999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15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0.199999999999999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15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0.199999999999999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15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0.199999999999999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15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0.199999999999999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15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0.199999999999999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15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0.199999999999999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15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0.199999999999999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15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0.199999999999999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15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0.199999999999999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15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0.199999999999999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15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0.199999999999999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15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0.199999999999999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15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0.199999999999999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15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0.199999999999999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15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0.199999999999999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15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0.199999999999999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15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0.199999999999999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15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0.199999999999999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15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0.199999999999999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15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0.199999999999999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15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0.199999999999999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15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0.199999999999999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15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0.199999999999999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15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0.199999999999999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15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0.199999999999999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15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0.199999999999999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15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0.199999999999999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15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0.199999999999999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15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0.199999999999999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15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0.199999999999999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15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0.199999999999999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15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0.199999999999999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15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0.199999999999999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15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0.199999999999999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15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0.199999999999999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15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0.199999999999999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15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0.199999999999999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15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0.199999999999999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15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0.199999999999999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15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0.199999999999999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15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0.199999999999999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15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0.199999999999999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15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0.199999999999999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15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0.199999999999999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15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0.199999999999999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15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0.199999999999999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15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0.199999999999999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15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0.199999999999999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15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0.199999999999999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15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0.199999999999999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15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0.199999999999999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15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0.199999999999999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15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0.199999999999999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15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0.199999999999999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15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0.199999999999999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15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0.199999999999999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15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0.199999999999999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15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0.199999999999999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15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0.199999999999999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15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0.199999999999999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15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0.199999999999999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15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0.199999999999999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15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0.199999999999999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15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0.199999999999999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15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0.199999999999999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15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0.199999999999999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15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0.199999999999999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15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0.199999999999999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15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0.199999999999999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15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0.199999999999999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15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0.199999999999999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15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0.199999999999999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15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0.199999999999999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15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0.199999999999999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15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0.199999999999999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15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0.199999999999999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15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0.199999999999999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15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0.199999999999999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15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0.199999999999999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15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0.199999999999999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15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0.199999999999999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15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0.199999999999999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15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0.199999999999999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15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0.199999999999999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15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0.199999999999999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15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0.199999999999999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15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0.199999999999999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15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0.199999999999999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15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0.199999999999999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15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0.199999999999999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15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0.199999999999999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15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0.199999999999999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15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0.199999999999999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15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0.199999999999999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15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0.199999999999999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15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0.199999999999999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15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0.199999999999999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15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0.199999999999999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15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0.199999999999999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15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0.199999999999999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15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0.199999999999999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15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0.199999999999999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15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0.199999999999999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15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0.199999999999999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15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0.199999999999999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15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0.199999999999999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15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0.199999999999999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15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0.199999999999999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15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0.199999999999999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15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0.199999999999999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15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0.199999999999999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15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0.199999999999999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15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0.199999999999999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15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0.199999999999999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15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0.199999999999999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15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0.199999999999999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15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0.199999999999999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15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0.199999999999999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15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0.199999999999999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15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0.199999999999999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15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0.199999999999999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15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0.199999999999999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15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0.199999999999999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15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0.199999999999999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15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0.199999999999999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15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0.199999999999999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15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0.199999999999999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15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0.199999999999999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15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0.199999999999999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15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0.199999999999999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15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0.199999999999999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15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0.199999999999999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15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0.199999999999999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15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0.199999999999999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15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0.199999999999999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15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0.199999999999999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15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0.199999999999999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15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0.199999999999999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15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0.199999999999999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15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0.199999999999999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15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0.199999999999999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15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0.199999999999999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15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0.199999999999999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15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0.199999999999999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15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0.199999999999999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15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0.199999999999999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15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0.199999999999999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15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0.199999999999999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15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0.199999999999999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15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0.199999999999999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15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0.199999999999999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15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0.199999999999999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15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0.199999999999999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15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0.199999999999999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15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0.199999999999999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15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0.199999999999999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15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0.199999999999999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15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0.199999999999999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15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0.199999999999999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15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0.199999999999999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15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0.199999999999999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15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0.199999999999999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15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0.199999999999999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15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0.199999999999999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15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0.199999999999999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15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0.199999999999999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15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0.199999999999999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15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0.199999999999999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15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0.199999999999999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15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0.199999999999999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15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0.199999999999999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15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0.199999999999999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15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0.199999999999999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15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0.199999999999999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15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0.199999999999999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15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0.199999999999999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15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0.199999999999999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15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0.199999999999999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15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0.199999999999999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15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0.199999999999999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15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0.199999999999999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15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0.199999999999999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15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0.199999999999999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15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0.199999999999999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15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0.199999999999999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15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0.199999999999999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15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0.199999999999999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15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0.199999999999999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15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0.199999999999999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15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0.199999999999999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15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0.199999999999999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15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0.199999999999999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15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0.199999999999999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15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0.199999999999999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15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0.199999999999999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15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0.199999999999999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15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0.199999999999999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15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0.199999999999999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15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0.199999999999999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15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0.199999999999999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15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0.199999999999999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15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0.199999999999999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15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0.199999999999999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15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0.199999999999999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15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0.199999999999999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15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0.199999999999999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15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0.199999999999999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15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0.199999999999999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15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0.199999999999999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15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0.199999999999999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15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0.199999999999999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15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0.199999999999999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15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0.199999999999999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15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0.199999999999999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15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0.199999999999999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15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0.199999999999999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15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0.199999999999999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15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0.199999999999999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15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0.199999999999999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15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0.199999999999999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15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0.199999999999999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15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0.199999999999999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15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0.199999999999999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15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0.199999999999999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15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0.199999999999999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15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0.199999999999999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15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0.199999999999999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15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0.199999999999999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15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0.199999999999999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15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0.199999999999999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15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0.199999999999999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15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0.199999999999999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15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0.199999999999999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15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0.199999999999999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15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0.199999999999999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15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0.199999999999999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15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0.199999999999999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15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0.199999999999999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15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0.199999999999999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15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0.199999999999999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15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0.199999999999999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15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0.199999999999999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15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0.199999999999999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15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0.199999999999999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15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0.199999999999999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15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0.199999999999999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15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0.199999999999999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15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0.199999999999999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15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0.199999999999999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15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0.199999999999999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15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0.199999999999999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15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0.199999999999999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15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0.199999999999999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15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0.199999999999999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15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0.199999999999999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15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0.199999999999999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15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0.199999999999999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15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0.199999999999999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15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0.199999999999999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15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0.199999999999999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15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0.199999999999999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15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0.199999999999999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15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0.199999999999999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15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0.199999999999999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15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0.199999999999999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15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0.199999999999999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15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0.199999999999999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15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0.199999999999999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15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0.199999999999999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15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0.199999999999999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15"/>
      <c r="R994" s="4"/>
      <c r="S994" s="4"/>
      <c r="T994" s="4"/>
      <c r="U994" s="4"/>
      <c r="V994" s="4"/>
      <c r="W994" s="4"/>
      <c r="X994" s="4"/>
      <c r="Y994" s="4"/>
      <c r="Z994" s="4"/>
    </row>
  </sheetData>
  <mergeCells count="4">
    <mergeCell ref="B1:E1"/>
    <mergeCell ref="A2:A3"/>
    <mergeCell ref="B2:E3"/>
    <mergeCell ref="B4:E4"/>
  </mergeCells>
  <dataValidations count="1">
    <dataValidation type="list" allowBlank="1" showErrorMessage="1" sqref="G2:G3 J2:J3 M2:M3 G9 J9 M9 F12:F13 I12:I13 L12:L13 G14:G141 J14:J141 M14:M141" xr:uid="{00000000-0002-0000-0A00-000000000000}">
      <formula1>$R$2:$R$5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998"/>
  <sheetViews>
    <sheetView topLeftCell="A17" workbookViewId="0"/>
  </sheetViews>
  <sheetFormatPr defaultColWidth="12.6640625" defaultRowHeight="13.2" x14ac:dyDescent="0.2"/>
  <cols>
    <col min="1" max="1" width="15.88671875" customWidth="1"/>
    <col min="2" max="2" width="34" customWidth="1"/>
    <col min="3" max="3" width="58" customWidth="1"/>
    <col min="4" max="4" width="48" customWidth="1"/>
    <col min="5" max="5" width="38" customWidth="1"/>
    <col min="6" max="6" width="9.33203125" customWidth="1"/>
    <col min="7" max="7" width="13" customWidth="1"/>
    <col min="8" max="8" width="8.33203125" customWidth="1"/>
    <col min="9" max="9" width="9.33203125" customWidth="1"/>
    <col min="10" max="10" width="13" customWidth="1"/>
    <col min="11" max="11" width="8.33203125" customWidth="1"/>
    <col min="12" max="12" width="9.33203125" customWidth="1"/>
    <col min="13" max="13" width="13" customWidth="1"/>
    <col min="14" max="14" width="9" customWidth="1"/>
    <col min="15" max="15" width="28.6640625" customWidth="1"/>
    <col min="16" max="16" width="10.109375" customWidth="1"/>
    <col min="17" max="17" width="8.109375" customWidth="1"/>
    <col min="18" max="18" width="7.6640625" hidden="1" customWidth="1"/>
    <col min="19" max="26" width="9" customWidth="1"/>
  </cols>
  <sheetData>
    <row r="1" spans="1:26" ht="10.199999999999999" customHeight="1" x14ac:dyDescent="0.25">
      <c r="A1" s="53"/>
      <c r="B1" s="154"/>
      <c r="C1" s="154"/>
      <c r="D1" s="154"/>
      <c r="E1" s="154"/>
      <c r="F1" s="18"/>
      <c r="G1" s="18"/>
      <c r="H1" s="18"/>
      <c r="I1" s="18"/>
      <c r="J1" s="18"/>
      <c r="K1" s="18"/>
      <c r="L1" s="18"/>
      <c r="M1" s="18"/>
      <c r="N1" s="18"/>
      <c r="O1" s="18"/>
      <c r="P1" s="4"/>
      <c r="Q1" s="15"/>
      <c r="R1" s="4"/>
      <c r="S1" s="4"/>
      <c r="T1" s="4"/>
      <c r="U1" s="4"/>
      <c r="V1" s="4"/>
      <c r="W1" s="4"/>
      <c r="X1" s="4"/>
      <c r="Y1" s="4"/>
      <c r="Z1" s="4"/>
    </row>
    <row r="2" spans="1:26" ht="33.6" customHeight="1" x14ac:dyDescent="0.25">
      <c r="A2" s="155" t="s">
        <v>29</v>
      </c>
      <c r="B2" s="156" t="s">
        <v>532</v>
      </c>
      <c r="C2" s="157"/>
      <c r="D2" s="157"/>
      <c r="E2" s="157"/>
      <c r="F2" s="16"/>
      <c r="G2" s="17"/>
      <c r="H2" s="18"/>
      <c r="I2" s="16"/>
      <c r="J2" s="17"/>
      <c r="K2" s="18"/>
      <c r="L2" s="16"/>
      <c r="M2" s="17"/>
      <c r="N2" s="18"/>
      <c r="O2" s="18"/>
      <c r="P2" s="18"/>
      <c r="Q2" s="19"/>
      <c r="R2" s="20" t="s">
        <v>24</v>
      </c>
      <c r="S2" s="20"/>
      <c r="T2" s="20"/>
      <c r="U2" s="20"/>
      <c r="V2" s="20"/>
      <c r="W2" s="20"/>
      <c r="X2" s="20"/>
      <c r="Y2" s="20"/>
      <c r="Z2" s="20"/>
    </row>
    <row r="3" spans="1:26" ht="33.6" customHeight="1" x14ac:dyDescent="0.25">
      <c r="A3" s="155" t="s">
        <v>30</v>
      </c>
      <c r="B3" s="156" t="s">
        <v>533</v>
      </c>
      <c r="C3" s="157"/>
      <c r="D3" s="157"/>
      <c r="E3" s="157"/>
      <c r="F3" s="16"/>
      <c r="G3" s="17"/>
      <c r="H3" s="18"/>
      <c r="I3" s="16"/>
      <c r="J3" s="17"/>
      <c r="K3" s="18"/>
      <c r="L3" s="16"/>
      <c r="M3" s="17"/>
      <c r="N3" s="18"/>
      <c r="O3" s="18"/>
      <c r="P3" s="18"/>
      <c r="Q3" s="19"/>
      <c r="R3" s="20" t="s">
        <v>25</v>
      </c>
      <c r="S3" s="20"/>
      <c r="T3" s="20"/>
      <c r="U3" s="20"/>
      <c r="V3" s="20"/>
      <c r="W3" s="20"/>
      <c r="X3" s="20"/>
      <c r="Y3" s="20"/>
      <c r="Z3" s="20"/>
    </row>
    <row r="4" spans="1:26" ht="14.4" customHeight="1" x14ac:dyDescent="0.25">
      <c r="A4" s="52" t="s">
        <v>31</v>
      </c>
      <c r="B4" s="156">
        <v>6</v>
      </c>
      <c r="C4" s="157"/>
      <c r="D4" s="157"/>
      <c r="E4" s="157"/>
      <c r="F4" s="16"/>
      <c r="G4" s="17"/>
      <c r="H4" s="18"/>
      <c r="I4" s="16"/>
      <c r="J4" s="17"/>
      <c r="K4" s="18"/>
      <c r="L4" s="16"/>
      <c r="M4" s="17"/>
      <c r="N4" s="18"/>
      <c r="O4" s="18"/>
      <c r="P4" s="18"/>
      <c r="Q4" s="19"/>
      <c r="R4" s="20" t="s">
        <v>26</v>
      </c>
      <c r="S4" s="20"/>
      <c r="T4" s="20"/>
      <c r="U4" s="20"/>
      <c r="V4" s="20"/>
      <c r="W4" s="20"/>
      <c r="X4" s="20"/>
      <c r="Y4" s="20"/>
      <c r="Z4" s="20"/>
    </row>
    <row r="5" spans="1:26" ht="15.6" customHeight="1" x14ac:dyDescent="0.25">
      <c r="A5" s="51" t="s">
        <v>360</v>
      </c>
      <c r="B5" s="51" t="s">
        <v>24</v>
      </c>
      <c r="C5" s="51" t="s">
        <v>25</v>
      </c>
      <c r="D5" s="51" t="s">
        <v>26</v>
      </c>
      <c r="E5" s="51" t="s">
        <v>27</v>
      </c>
      <c r="F5" s="21"/>
      <c r="G5" s="21"/>
      <c r="H5" s="22"/>
      <c r="I5" s="21"/>
      <c r="J5" s="21"/>
      <c r="K5" s="22"/>
      <c r="L5" s="21"/>
      <c r="M5" s="21"/>
      <c r="N5" s="22"/>
      <c r="O5" s="22"/>
      <c r="P5" s="22"/>
      <c r="Q5" s="23"/>
      <c r="R5" s="20" t="s">
        <v>27</v>
      </c>
      <c r="S5" s="20"/>
      <c r="T5" s="20"/>
      <c r="U5" s="20"/>
      <c r="V5" s="20"/>
      <c r="W5" s="20"/>
      <c r="X5" s="20"/>
      <c r="Y5" s="20"/>
      <c r="Z5" s="20"/>
    </row>
    <row r="6" spans="1:26" ht="12" customHeight="1" x14ac:dyDescent="0.25">
      <c r="A6" s="51" t="s">
        <v>361</v>
      </c>
      <c r="B6" s="51">
        <f t="shared" ref="B6:E6" si="0">COUNTIF($F$12:$F$1005,B$5)</f>
        <v>6</v>
      </c>
      <c r="C6" s="51">
        <f t="shared" si="0"/>
        <v>0</v>
      </c>
      <c r="D6" s="51">
        <f t="shared" si="0"/>
        <v>0</v>
      </c>
      <c r="E6" s="51">
        <f t="shared" si="0"/>
        <v>0</v>
      </c>
      <c r="F6" s="24"/>
      <c r="G6" s="24"/>
      <c r="H6" s="22"/>
      <c r="I6" s="24"/>
      <c r="J6" s="24"/>
      <c r="K6" s="22"/>
      <c r="L6" s="24"/>
      <c r="M6" s="24"/>
      <c r="N6" s="22"/>
      <c r="O6" s="22"/>
      <c r="P6" s="22"/>
      <c r="Q6" s="23"/>
      <c r="R6" s="20"/>
      <c r="S6" s="20"/>
      <c r="T6" s="20"/>
      <c r="U6" s="20"/>
      <c r="V6" s="20"/>
      <c r="W6" s="20"/>
      <c r="X6" s="20"/>
      <c r="Y6" s="20"/>
      <c r="Z6" s="20"/>
    </row>
    <row r="7" spans="1:26" ht="12" customHeight="1" x14ac:dyDescent="0.25">
      <c r="A7" s="51" t="s">
        <v>362</v>
      </c>
      <c r="B7" s="51">
        <f t="shared" ref="B7:E7" si="1">COUNTIF($I$12:$I$1005,B$5)</f>
        <v>6</v>
      </c>
      <c r="C7" s="51">
        <f t="shared" si="1"/>
        <v>0</v>
      </c>
      <c r="D7" s="51">
        <f t="shared" si="1"/>
        <v>0</v>
      </c>
      <c r="E7" s="51">
        <f t="shared" si="1"/>
        <v>0</v>
      </c>
      <c r="F7" s="24"/>
      <c r="G7" s="24"/>
      <c r="H7" s="22"/>
      <c r="I7" s="24"/>
      <c r="J7" s="24"/>
      <c r="K7" s="22"/>
      <c r="L7" s="24"/>
      <c r="M7" s="24"/>
      <c r="N7" s="22"/>
      <c r="O7" s="22"/>
      <c r="P7" s="22"/>
      <c r="Q7" s="23"/>
      <c r="R7" s="20"/>
      <c r="S7" s="20"/>
      <c r="T7" s="20"/>
      <c r="U7" s="20"/>
      <c r="V7" s="20"/>
      <c r="W7" s="20"/>
      <c r="X7" s="20"/>
      <c r="Y7" s="20"/>
      <c r="Z7" s="20"/>
    </row>
    <row r="8" spans="1:26" ht="12" customHeight="1" x14ac:dyDescent="0.25">
      <c r="A8" s="51" t="s">
        <v>363</v>
      </c>
      <c r="B8" s="51">
        <f t="shared" ref="B8:E8" si="2">COUNTIF($L$12:$L$1005,B$5)</f>
        <v>6</v>
      </c>
      <c r="C8" s="51">
        <f t="shared" si="2"/>
        <v>0</v>
      </c>
      <c r="D8" s="51">
        <f t="shared" si="2"/>
        <v>0</v>
      </c>
      <c r="E8" s="51">
        <f t="shared" si="2"/>
        <v>0</v>
      </c>
      <c r="F8" s="24"/>
      <c r="G8" s="24"/>
      <c r="H8" s="22"/>
      <c r="I8" s="24"/>
      <c r="J8" s="24"/>
      <c r="K8" s="22"/>
      <c r="L8" s="24"/>
      <c r="M8" s="24"/>
      <c r="N8" s="22"/>
      <c r="O8" s="22"/>
      <c r="P8" s="22"/>
      <c r="Q8" s="23"/>
      <c r="R8" s="20"/>
      <c r="S8" s="20"/>
      <c r="T8" s="20"/>
      <c r="U8" s="20"/>
      <c r="V8" s="20"/>
      <c r="W8" s="20"/>
      <c r="X8" s="20"/>
      <c r="Y8" s="20"/>
      <c r="Z8" s="20"/>
    </row>
    <row r="9" spans="1:26" ht="12" customHeight="1" x14ac:dyDescent="0.25">
      <c r="A9" s="22"/>
      <c r="B9" s="22"/>
      <c r="C9" s="22"/>
      <c r="D9" s="22"/>
      <c r="E9" s="22"/>
      <c r="F9" s="14"/>
      <c r="G9" s="22"/>
      <c r="H9" s="22"/>
      <c r="I9" s="14"/>
      <c r="J9" s="22"/>
      <c r="K9" s="22"/>
      <c r="L9" s="14"/>
      <c r="M9" s="22"/>
      <c r="N9" s="22"/>
      <c r="O9" s="22"/>
      <c r="P9" s="22"/>
      <c r="Q9" s="23"/>
      <c r="R9" s="20"/>
      <c r="S9" s="20"/>
      <c r="T9" s="20"/>
      <c r="U9" s="20"/>
      <c r="V9" s="20"/>
      <c r="W9" s="20"/>
      <c r="X9" s="20"/>
      <c r="Y9" s="20"/>
      <c r="Z9" s="20"/>
    </row>
    <row r="10" spans="1:26" ht="20.399999999999999" customHeight="1" x14ac:dyDescent="0.25">
      <c r="A10" s="54" t="s">
        <v>364</v>
      </c>
      <c r="B10" s="54" t="s">
        <v>365</v>
      </c>
      <c r="C10" s="54" t="s">
        <v>366</v>
      </c>
      <c r="D10" s="54" t="s">
        <v>367</v>
      </c>
      <c r="E10" s="54" t="s">
        <v>368</v>
      </c>
      <c r="F10" s="54" t="s">
        <v>361</v>
      </c>
      <c r="G10" s="54" t="s">
        <v>369</v>
      </c>
      <c r="H10" s="54" t="s">
        <v>370</v>
      </c>
      <c r="I10" s="54" t="s">
        <v>362</v>
      </c>
      <c r="J10" s="54" t="s">
        <v>369</v>
      </c>
      <c r="K10" s="54" t="s">
        <v>370</v>
      </c>
      <c r="L10" s="54" t="s">
        <v>363</v>
      </c>
      <c r="M10" s="54" t="s">
        <v>369</v>
      </c>
      <c r="N10" s="54" t="s">
        <v>370</v>
      </c>
      <c r="O10" s="54" t="s">
        <v>371</v>
      </c>
      <c r="P10" s="20"/>
      <c r="Q10" s="25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40.200000000000003" customHeight="1" x14ac:dyDescent="0.25">
      <c r="A11" s="55" t="s">
        <v>534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20"/>
      <c r="Q11" s="26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94.35" customHeight="1" x14ac:dyDescent="0.2">
      <c r="A12" s="56" t="s">
        <v>535</v>
      </c>
      <c r="B12" s="56" t="s">
        <v>52</v>
      </c>
      <c r="C12" s="57" t="s">
        <v>536</v>
      </c>
      <c r="D12" s="57" t="s">
        <v>53</v>
      </c>
      <c r="E12" s="57" t="s">
        <v>54</v>
      </c>
      <c r="F12" s="56" t="s">
        <v>24</v>
      </c>
      <c r="G12" s="63">
        <v>46235</v>
      </c>
      <c r="H12" s="56" t="s">
        <v>375</v>
      </c>
      <c r="I12" s="56" t="s">
        <v>24</v>
      </c>
      <c r="J12" s="63">
        <v>46242</v>
      </c>
      <c r="K12" s="56" t="s">
        <v>375</v>
      </c>
      <c r="L12" s="56" t="s">
        <v>24</v>
      </c>
      <c r="M12" s="63">
        <v>46249</v>
      </c>
      <c r="N12" s="56" t="s">
        <v>375</v>
      </c>
      <c r="O12" s="56"/>
      <c r="P12" s="27"/>
      <c r="Q12" s="30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94.35" customHeight="1" x14ac:dyDescent="0.25">
      <c r="A13" s="56" t="s">
        <v>537</v>
      </c>
      <c r="B13" s="56" t="s">
        <v>55</v>
      </c>
      <c r="C13" s="57" t="s">
        <v>538</v>
      </c>
      <c r="D13" s="57" t="s">
        <v>56</v>
      </c>
      <c r="E13" s="57" t="s">
        <v>57</v>
      </c>
      <c r="F13" s="56" t="s">
        <v>24</v>
      </c>
      <c r="G13" s="63">
        <v>46235</v>
      </c>
      <c r="H13" s="56" t="s">
        <v>375</v>
      </c>
      <c r="I13" s="56" t="s">
        <v>24</v>
      </c>
      <c r="J13" s="63">
        <v>46242</v>
      </c>
      <c r="K13" s="56" t="s">
        <v>375</v>
      </c>
      <c r="L13" s="56" t="s">
        <v>24</v>
      </c>
      <c r="M13" s="63">
        <v>46249</v>
      </c>
      <c r="N13" s="56" t="s">
        <v>375</v>
      </c>
      <c r="O13" s="56"/>
      <c r="P13" s="4"/>
      <c r="Q13" s="30"/>
      <c r="R13" s="4"/>
      <c r="S13" s="4"/>
      <c r="T13" s="4"/>
      <c r="U13" s="4"/>
      <c r="V13" s="4"/>
      <c r="W13" s="4"/>
      <c r="X13" s="4"/>
      <c r="Y13" s="4"/>
      <c r="Z13" s="4"/>
    </row>
    <row r="14" spans="1:26" ht="94.35" customHeight="1" x14ac:dyDescent="0.25">
      <c r="A14" s="58" t="s">
        <v>539</v>
      </c>
      <c r="B14" s="58" t="s">
        <v>58</v>
      </c>
      <c r="C14" s="58" t="s">
        <v>540</v>
      </c>
      <c r="D14" s="58" t="s">
        <v>59</v>
      </c>
      <c r="E14" s="58" t="s">
        <v>60</v>
      </c>
      <c r="F14" s="58" t="s">
        <v>24</v>
      </c>
      <c r="G14" s="64">
        <v>46235</v>
      </c>
      <c r="H14" s="58" t="s">
        <v>375</v>
      </c>
      <c r="I14" s="58" t="s">
        <v>24</v>
      </c>
      <c r="J14" s="64">
        <v>46242</v>
      </c>
      <c r="K14" s="58" t="s">
        <v>375</v>
      </c>
      <c r="L14" s="58" t="s">
        <v>24</v>
      </c>
      <c r="M14" s="64">
        <v>46249</v>
      </c>
      <c r="N14" s="58" t="s">
        <v>375</v>
      </c>
      <c r="O14" s="58"/>
      <c r="P14" s="20"/>
      <c r="Q14" s="26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9.2" customHeight="1" x14ac:dyDescent="0.25">
      <c r="A15" s="60" t="s">
        <v>541</v>
      </c>
      <c r="B15" s="60"/>
      <c r="C15" s="61"/>
      <c r="D15" s="61"/>
      <c r="E15" s="61"/>
      <c r="F15" s="60"/>
      <c r="G15" s="65"/>
      <c r="H15" s="60"/>
      <c r="I15" s="60"/>
      <c r="J15" s="65"/>
      <c r="K15" s="60"/>
      <c r="L15" s="60"/>
      <c r="M15" s="65"/>
      <c r="N15" s="60"/>
      <c r="O15" s="60"/>
      <c r="P15" s="4"/>
      <c r="Q15" s="30"/>
      <c r="R15" s="4"/>
      <c r="S15" s="4"/>
      <c r="T15" s="4"/>
      <c r="U15" s="4"/>
      <c r="V15" s="4"/>
      <c r="W15" s="4"/>
      <c r="X15" s="4"/>
      <c r="Y15" s="4"/>
      <c r="Z15" s="4"/>
    </row>
    <row r="16" spans="1:26" ht="94.35" customHeight="1" x14ac:dyDescent="0.25">
      <c r="A16" s="56" t="s">
        <v>542</v>
      </c>
      <c r="B16" s="56" t="s">
        <v>61</v>
      </c>
      <c r="C16" s="57" t="s">
        <v>543</v>
      </c>
      <c r="D16" s="56" t="s">
        <v>62</v>
      </c>
      <c r="E16" s="57" t="s">
        <v>63</v>
      </c>
      <c r="F16" s="56" t="s">
        <v>24</v>
      </c>
      <c r="G16" s="63">
        <v>46235</v>
      </c>
      <c r="H16" s="56" t="s">
        <v>375</v>
      </c>
      <c r="I16" s="56" t="s">
        <v>24</v>
      </c>
      <c r="J16" s="63">
        <v>46242</v>
      </c>
      <c r="K16" s="56" t="s">
        <v>375</v>
      </c>
      <c r="L16" s="56" t="s">
        <v>24</v>
      </c>
      <c r="M16" s="63">
        <v>46249</v>
      </c>
      <c r="N16" s="56" t="s">
        <v>375</v>
      </c>
      <c r="O16" s="59"/>
      <c r="P16" s="38"/>
      <c r="Q16" s="39"/>
      <c r="R16" s="38"/>
      <c r="S16" s="38"/>
      <c r="T16" s="38"/>
      <c r="U16" s="38"/>
      <c r="V16" s="38"/>
      <c r="W16" s="38"/>
      <c r="X16" s="38"/>
      <c r="Y16" s="38"/>
      <c r="Z16" s="38"/>
    </row>
    <row r="17" spans="1:26" ht="94.35" customHeight="1" x14ac:dyDescent="0.25">
      <c r="A17" s="56" t="s">
        <v>544</v>
      </c>
      <c r="B17" s="56" t="s">
        <v>64</v>
      </c>
      <c r="C17" s="57" t="s">
        <v>545</v>
      </c>
      <c r="D17" s="56" t="s">
        <v>65</v>
      </c>
      <c r="E17" s="57" t="s">
        <v>66</v>
      </c>
      <c r="F17" s="56" t="s">
        <v>24</v>
      </c>
      <c r="G17" s="63">
        <v>46235</v>
      </c>
      <c r="H17" s="56" t="s">
        <v>375</v>
      </c>
      <c r="I17" s="56" t="s">
        <v>24</v>
      </c>
      <c r="J17" s="63">
        <v>46242</v>
      </c>
      <c r="K17" s="56" t="s">
        <v>375</v>
      </c>
      <c r="L17" s="56" t="s">
        <v>24</v>
      </c>
      <c r="M17" s="63">
        <v>46249</v>
      </c>
      <c r="N17" s="56" t="s">
        <v>375</v>
      </c>
      <c r="O17" s="59"/>
      <c r="P17" s="31"/>
      <c r="Q17" s="40"/>
      <c r="R17" s="31"/>
      <c r="S17" s="31"/>
      <c r="T17" s="31"/>
      <c r="U17" s="31"/>
      <c r="V17" s="31"/>
      <c r="W17" s="31"/>
      <c r="X17" s="31"/>
      <c r="Y17" s="31"/>
      <c r="Z17" s="31"/>
    </row>
    <row r="18" spans="1:26" ht="37.799999999999997" customHeight="1" x14ac:dyDescent="0.25">
      <c r="A18" s="62" t="s">
        <v>546</v>
      </c>
      <c r="B18" s="62"/>
      <c r="C18" s="62"/>
      <c r="D18" s="62"/>
      <c r="E18" s="62"/>
      <c r="F18" s="62"/>
      <c r="G18" s="66"/>
      <c r="H18" s="62"/>
      <c r="I18" s="62"/>
      <c r="J18" s="66"/>
      <c r="K18" s="62"/>
      <c r="L18" s="62"/>
      <c r="M18" s="66"/>
      <c r="N18" s="62"/>
      <c r="O18" s="62"/>
      <c r="P18" s="37"/>
      <c r="Q18" s="41"/>
      <c r="R18" s="37"/>
      <c r="S18" s="37"/>
      <c r="T18" s="37"/>
      <c r="U18" s="37"/>
      <c r="V18" s="37"/>
      <c r="W18" s="37"/>
      <c r="X18" s="37"/>
      <c r="Y18" s="37"/>
      <c r="Z18" s="37"/>
    </row>
    <row r="19" spans="1:26" ht="94.35" customHeight="1" x14ac:dyDescent="0.25">
      <c r="A19" s="59" t="s">
        <v>547</v>
      </c>
      <c r="B19" s="59" t="s">
        <v>67</v>
      </c>
      <c r="C19" s="59" t="s">
        <v>548</v>
      </c>
      <c r="D19" s="59" t="s">
        <v>68</v>
      </c>
      <c r="E19" s="59" t="s">
        <v>69</v>
      </c>
      <c r="F19" s="59" t="s">
        <v>24</v>
      </c>
      <c r="G19" s="67">
        <v>46235</v>
      </c>
      <c r="H19" s="59" t="s">
        <v>375</v>
      </c>
      <c r="I19" s="59" t="s">
        <v>24</v>
      </c>
      <c r="J19" s="67">
        <v>46242</v>
      </c>
      <c r="K19" s="59" t="s">
        <v>375</v>
      </c>
      <c r="L19" s="59" t="s">
        <v>24</v>
      </c>
      <c r="M19" s="67">
        <v>46249</v>
      </c>
      <c r="N19" s="59" t="s">
        <v>375</v>
      </c>
      <c r="O19" s="59"/>
      <c r="P19" s="4"/>
      <c r="Q19" s="15"/>
      <c r="R19" s="4"/>
      <c r="S19" s="4"/>
      <c r="T19" s="4"/>
      <c r="U19" s="4"/>
      <c r="V19" s="4"/>
      <c r="W19" s="4"/>
      <c r="X19" s="4"/>
      <c r="Y19" s="4"/>
      <c r="Z19" s="4"/>
    </row>
    <row r="20" spans="1:26" ht="94.35" customHeight="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4"/>
      <c r="Q20" s="15"/>
      <c r="R20" s="4"/>
      <c r="S20" s="4"/>
      <c r="T20" s="4"/>
      <c r="U20" s="4"/>
      <c r="V20" s="4"/>
      <c r="W20" s="4"/>
      <c r="X20" s="4"/>
      <c r="Y20" s="4"/>
      <c r="Z20" s="4"/>
    </row>
    <row r="21" spans="1:26" ht="94.35" customHeight="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4"/>
      <c r="Q21" s="15"/>
      <c r="R21" s="4"/>
      <c r="S21" s="4"/>
      <c r="T21" s="4"/>
      <c r="U21" s="4"/>
      <c r="V21" s="4"/>
      <c r="W21" s="4"/>
      <c r="X21" s="4"/>
      <c r="Y21" s="4"/>
      <c r="Z21" s="4"/>
    </row>
    <row r="22" spans="1:26" ht="94.35" customHeight="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4"/>
      <c r="Q22" s="15"/>
      <c r="R22" s="4"/>
      <c r="S22" s="4"/>
      <c r="T22" s="4"/>
      <c r="U22" s="4"/>
      <c r="V22" s="4"/>
      <c r="W22" s="4"/>
      <c r="X22" s="4"/>
      <c r="Y22" s="4"/>
      <c r="Z22" s="4"/>
    </row>
    <row r="23" spans="1:26" ht="94.35" customHeight="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4"/>
      <c r="Q23" s="15"/>
      <c r="R23" s="4"/>
      <c r="S23" s="4"/>
      <c r="T23" s="4"/>
      <c r="U23" s="4"/>
      <c r="V23" s="4"/>
      <c r="W23" s="4"/>
      <c r="X23" s="4"/>
      <c r="Y23" s="4"/>
      <c r="Z23" s="4"/>
    </row>
    <row r="24" spans="1:26" ht="94.35" customHeight="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4"/>
      <c r="Q24" s="15"/>
      <c r="R24" s="4"/>
      <c r="S24" s="4"/>
      <c r="T24" s="4"/>
      <c r="U24" s="4"/>
      <c r="V24" s="4"/>
      <c r="W24" s="4"/>
      <c r="X24" s="4"/>
      <c r="Y24" s="4"/>
      <c r="Z24" s="4"/>
    </row>
    <row r="25" spans="1:26" ht="94.35" customHeight="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4"/>
      <c r="Q25" s="15"/>
      <c r="R25" s="4"/>
      <c r="S25" s="4"/>
      <c r="T25" s="4"/>
      <c r="U25" s="4"/>
      <c r="V25" s="4"/>
      <c r="W25" s="4"/>
      <c r="X25" s="4"/>
      <c r="Y25" s="4"/>
      <c r="Z25" s="4"/>
    </row>
    <row r="26" spans="1:26" ht="94.35" customHeight="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4"/>
      <c r="Q26" s="15"/>
      <c r="R26" s="4"/>
      <c r="S26" s="4"/>
      <c r="T26" s="4"/>
      <c r="U26" s="4"/>
      <c r="V26" s="4"/>
      <c r="W26" s="4"/>
      <c r="X26" s="4"/>
      <c r="Y26" s="4"/>
      <c r="Z26" s="4"/>
    </row>
    <row r="27" spans="1:26" ht="94.35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4"/>
      <c r="Q27" s="15"/>
      <c r="R27" s="4"/>
      <c r="S27" s="4"/>
      <c r="T27" s="4"/>
      <c r="U27" s="4"/>
      <c r="V27" s="4"/>
      <c r="W27" s="4"/>
      <c r="X27" s="4"/>
      <c r="Y27" s="4"/>
      <c r="Z27" s="4"/>
    </row>
    <row r="28" spans="1:26" ht="94.3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4"/>
      <c r="Q28" s="15"/>
      <c r="R28" s="4"/>
      <c r="S28" s="4"/>
      <c r="T28" s="4"/>
      <c r="U28" s="4"/>
      <c r="V28" s="4"/>
      <c r="W28" s="4"/>
      <c r="X28" s="4"/>
      <c r="Y28" s="4"/>
      <c r="Z28" s="4"/>
    </row>
    <row r="29" spans="1:26" ht="94.3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4"/>
      <c r="Q29" s="15"/>
      <c r="R29" s="4"/>
      <c r="S29" s="4"/>
      <c r="T29" s="4"/>
      <c r="U29" s="4"/>
      <c r="V29" s="4"/>
      <c r="W29" s="4"/>
      <c r="X29" s="4"/>
      <c r="Y29" s="4"/>
      <c r="Z29" s="4"/>
    </row>
    <row r="30" spans="1:26" ht="94.35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4"/>
      <c r="Q30" s="15"/>
      <c r="R30" s="4"/>
      <c r="S30" s="4"/>
      <c r="T30" s="4"/>
      <c r="U30" s="4"/>
      <c r="V30" s="4"/>
      <c r="W30" s="4"/>
      <c r="X30" s="4"/>
      <c r="Y30" s="4"/>
      <c r="Z30" s="4"/>
    </row>
    <row r="31" spans="1:26" ht="94.3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4"/>
      <c r="Q31" s="15"/>
      <c r="R31" s="4"/>
      <c r="S31" s="4"/>
      <c r="T31" s="4"/>
      <c r="U31" s="4"/>
      <c r="V31" s="4"/>
      <c r="W31" s="4"/>
      <c r="X31" s="4"/>
      <c r="Y31" s="4"/>
      <c r="Z31" s="4"/>
    </row>
    <row r="32" spans="1:26" ht="94.3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4"/>
      <c r="Q32" s="15"/>
      <c r="R32" s="4"/>
      <c r="S32" s="4"/>
      <c r="T32" s="4"/>
      <c r="U32" s="4"/>
      <c r="V32" s="4"/>
      <c r="W32" s="4"/>
      <c r="X32" s="4"/>
      <c r="Y32" s="4"/>
      <c r="Z32" s="4"/>
    </row>
    <row r="33" spans="1:26" ht="94.3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4"/>
      <c r="Q33" s="15"/>
      <c r="R33" s="4"/>
      <c r="S33" s="4"/>
      <c r="T33" s="4"/>
      <c r="U33" s="4"/>
      <c r="V33" s="4"/>
      <c r="W33" s="4"/>
      <c r="X33" s="4"/>
      <c r="Y33" s="4"/>
      <c r="Z33" s="4"/>
    </row>
    <row r="34" spans="1:26" ht="94.3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4"/>
      <c r="Q34" s="15"/>
      <c r="R34" s="4"/>
      <c r="S34" s="4"/>
      <c r="T34" s="4"/>
      <c r="U34" s="4"/>
      <c r="V34" s="4"/>
      <c r="W34" s="4"/>
      <c r="X34" s="4"/>
      <c r="Y34" s="4"/>
      <c r="Z34" s="4"/>
    </row>
    <row r="35" spans="1:26" ht="94.3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4"/>
      <c r="Q35" s="15"/>
      <c r="R35" s="4"/>
      <c r="S35" s="4"/>
      <c r="T35" s="4"/>
      <c r="U35" s="4"/>
      <c r="V35" s="4"/>
      <c r="W35" s="4"/>
      <c r="X35" s="4"/>
      <c r="Y35" s="4"/>
      <c r="Z35" s="4"/>
    </row>
    <row r="36" spans="1:26" ht="94.35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4"/>
      <c r="Q36" s="15"/>
      <c r="R36" s="4"/>
      <c r="S36" s="4"/>
      <c r="T36" s="4"/>
      <c r="U36" s="4"/>
      <c r="V36" s="4"/>
      <c r="W36" s="4"/>
      <c r="X36" s="4"/>
      <c r="Y36" s="4"/>
      <c r="Z36" s="4"/>
    </row>
    <row r="37" spans="1:26" ht="94.35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4"/>
      <c r="Q37" s="15"/>
      <c r="R37" s="4"/>
      <c r="S37" s="4"/>
      <c r="T37" s="4"/>
      <c r="U37" s="4"/>
      <c r="V37" s="4"/>
      <c r="W37" s="4"/>
      <c r="X37" s="4"/>
      <c r="Y37" s="4"/>
      <c r="Z37" s="4"/>
    </row>
    <row r="38" spans="1:26" ht="94.35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4"/>
      <c r="Q38" s="15"/>
      <c r="R38" s="4"/>
      <c r="S38" s="4"/>
      <c r="T38" s="4"/>
      <c r="U38" s="4"/>
      <c r="V38" s="4"/>
      <c r="W38" s="4"/>
      <c r="X38" s="4"/>
      <c r="Y38" s="4"/>
      <c r="Z38" s="4"/>
    </row>
    <row r="39" spans="1:26" ht="94.3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4"/>
      <c r="Q39" s="15"/>
      <c r="R39" s="4"/>
      <c r="S39" s="4"/>
      <c r="T39" s="4"/>
      <c r="U39" s="4"/>
      <c r="V39" s="4"/>
      <c r="W39" s="4"/>
      <c r="X39" s="4"/>
      <c r="Y39" s="4"/>
      <c r="Z39" s="4"/>
    </row>
    <row r="40" spans="1:26" ht="94.3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4"/>
      <c r="Q40" s="15"/>
      <c r="R40" s="4"/>
      <c r="S40" s="4"/>
      <c r="T40" s="4"/>
      <c r="U40" s="4"/>
      <c r="V40" s="4"/>
      <c r="W40" s="4"/>
      <c r="X40" s="4"/>
      <c r="Y40" s="4"/>
      <c r="Z40" s="4"/>
    </row>
    <row r="41" spans="1:26" ht="94.3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4"/>
      <c r="Q41" s="15"/>
      <c r="R41" s="4"/>
      <c r="S41" s="4"/>
      <c r="T41" s="4"/>
      <c r="U41" s="4"/>
      <c r="V41" s="4"/>
      <c r="W41" s="4"/>
      <c r="X41" s="4"/>
      <c r="Y41" s="4"/>
      <c r="Z41" s="4"/>
    </row>
    <row r="42" spans="1:26" ht="94.3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4"/>
      <c r="Q42" s="15"/>
      <c r="R42" s="4"/>
      <c r="S42" s="4"/>
      <c r="T42" s="4"/>
      <c r="U42" s="4"/>
      <c r="V42" s="4"/>
      <c r="W42" s="4"/>
      <c r="X42" s="4"/>
      <c r="Y42" s="4"/>
      <c r="Z42" s="4"/>
    </row>
    <row r="43" spans="1:26" ht="94.35" customHeight="1" x14ac:dyDescent="0.2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4"/>
      <c r="Q43" s="15"/>
      <c r="R43" s="4"/>
      <c r="S43" s="4"/>
      <c r="T43" s="4"/>
      <c r="U43" s="4"/>
      <c r="V43" s="4"/>
      <c r="W43" s="4"/>
      <c r="X43" s="4"/>
      <c r="Y43" s="4"/>
      <c r="Z43" s="4"/>
    </row>
    <row r="44" spans="1:26" ht="94.35" customHeight="1" x14ac:dyDescent="0.2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4"/>
      <c r="Q44" s="15"/>
      <c r="R44" s="4"/>
      <c r="S44" s="4"/>
      <c r="T44" s="4"/>
      <c r="U44" s="4"/>
      <c r="V44" s="4"/>
      <c r="W44" s="4"/>
      <c r="X44" s="4"/>
      <c r="Y44" s="4"/>
      <c r="Z44" s="4"/>
    </row>
    <row r="45" spans="1:26" ht="94.35" customHeight="1" x14ac:dyDescent="0.2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4"/>
      <c r="Q45" s="15"/>
      <c r="R45" s="4"/>
      <c r="S45" s="4"/>
      <c r="T45" s="4"/>
      <c r="U45" s="4"/>
      <c r="V45" s="4"/>
      <c r="W45" s="4"/>
      <c r="X45" s="4"/>
      <c r="Y45" s="4"/>
      <c r="Z45" s="4"/>
    </row>
    <row r="46" spans="1:26" ht="94.35" customHeight="1" x14ac:dyDescent="0.2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4"/>
      <c r="Q46" s="15"/>
      <c r="R46" s="4"/>
      <c r="S46" s="4"/>
      <c r="T46" s="4"/>
      <c r="U46" s="4"/>
      <c r="V46" s="4"/>
      <c r="W46" s="4"/>
      <c r="X46" s="4"/>
      <c r="Y46" s="4"/>
      <c r="Z46" s="4"/>
    </row>
    <row r="47" spans="1:26" ht="94.35" customHeight="1" x14ac:dyDescent="0.2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4"/>
      <c r="Q47" s="15"/>
      <c r="R47" s="4"/>
      <c r="S47" s="4"/>
      <c r="T47" s="4"/>
      <c r="U47" s="4"/>
      <c r="V47" s="4"/>
      <c r="W47" s="4"/>
      <c r="X47" s="4"/>
      <c r="Y47" s="4"/>
      <c r="Z47" s="4"/>
    </row>
    <row r="48" spans="1:26" ht="94.35" customHeight="1" x14ac:dyDescent="0.2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4"/>
      <c r="Q48" s="15"/>
      <c r="R48" s="4"/>
      <c r="S48" s="4"/>
      <c r="T48" s="4"/>
      <c r="U48" s="4"/>
      <c r="V48" s="4"/>
      <c r="W48" s="4"/>
      <c r="X48" s="4"/>
      <c r="Y48" s="4"/>
      <c r="Z48" s="4"/>
    </row>
    <row r="49" spans="1:26" ht="94.35" customHeight="1" x14ac:dyDescent="0.2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4"/>
      <c r="Q49" s="15"/>
      <c r="R49" s="4"/>
      <c r="S49" s="4"/>
      <c r="T49" s="4"/>
      <c r="U49" s="4"/>
      <c r="V49" s="4"/>
      <c r="W49" s="4"/>
      <c r="X49" s="4"/>
      <c r="Y49" s="4"/>
      <c r="Z49" s="4"/>
    </row>
    <row r="50" spans="1:26" ht="94.35" customHeight="1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4"/>
      <c r="Q50" s="15"/>
      <c r="R50" s="4"/>
      <c r="S50" s="4"/>
      <c r="T50" s="4"/>
      <c r="U50" s="4"/>
      <c r="V50" s="4"/>
      <c r="W50" s="4"/>
      <c r="X50" s="4"/>
      <c r="Y50" s="4"/>
      <c r="Z50" s="4"/>
    </row>
    <row r="51" spans="1:26" ht="94.35" customHeight="1" x14ac:dyDescent="0.2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4"/>
      <c r="Q51" s="15"/>
      <c r="R51" s="4"/>
      <c r="S51" s="4"/>
      <c r="T51" s="4"/>
      <c r="U51" s="4"/>
      <c r="V51" s="4"/>
      <c r="W51" s="4"/>
      <c r="X51" s="4"/>
      <c r="Y51" s="4"/>
      <c r="Z51" s="4"/>
    </row>
    <row r="52" spans="1:26" ht="94.35" customHeight="1" x14ac:dyDescent="0.2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4"/>
      <c r="Q52" s="15"/>
      <c r="R52" s="4"/>
      <c r="S52" s="4"/>
      <c r="T52" s="4"/>
      <c r="U52" s="4"/>
      <c r="V52" s="4"/>
      <c r="W52" s="4"/>
      <c r="X52" s="4"/>
      <c r="Y52" s="4"/>
      <c r="Z52" s="4"/>
    </row>
    <row r="53" spans="1:26" ht="94.35" customHeight="1" x14ac:dyDescent="0.2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4"/>
      <c r="Q53" s="15"/>
      <c r="R53" s="4"/>
      <c r="S53" s="4"/>
      <c r="T53" s="4"/>
      <c r="U53" s="4"/>
      <c r="V53" s="4"/>
      <c r="W53" s="4"/>
      <c r="X53" s="4"/>
      <c r="Y53" s="4"/>
      <c r="Z53" s="4"/>
    </row>
    <row r="54" spans="1:26" ht="94.35" customHeight="1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4"/>
      <c r="Q54" s="15"/>
      <c r="R54" s="4"/>
      <c r="S54" s="4"/>
      <c r="T54" s="4"/>
      <c r="U54" s="4"/>
      <c r="V54" s="4"/>
      <c r="W54" s="4"/>
      <c r="X54" s="4"/>
      <c r="Y54" s="4"/>
      <c r="Z54" s="4"/>
    </row>
    <row r="55" spans="1:26" ht="94.35" customHeight="1" x14ac:dyDescent="0.2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4"/>
      <c r="Q55" s="15"/>
      <c r="R55" s="4"/>
      <c r="S55" s="4"/>
      <c r="T55" s="4"/>
      <c r="U55" s="4"/>
      <c r="V55" s="4"/>
      <c r="W55" s="4"/>
      <c r="X55" s="4"/>
      <c r="Y55" s="4"/>
      <c r="Z55" s="4"/>
    </row>
    <row r="56" spans="1:26" ht="94.35" customHeight="1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4"/>
      <c r="Q56" s="15"/>
      <c r="R56" s="4"/>
      <c r="S56" s="4"/>
      <c r="T56" s="4"/>
      <c r="U56" s="4"/>
      <c r="V56" s="4"/>
      <c r="W56" s="4"/>
      <c r="X56" s="4"/>
      <c r="Y56" s="4"/>
      <c r="Z56" s="4"/>
    </row>
    <row r="57" spans="1:26" ht="94.35" customHeight="1" x14ac:dyDescent="0.2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4"/>
      <c r="Q57" s="15"/>
      <c r="R57" s="4"/>
      <c r="S57" s="4"/>
      <c r="T57" s="4"/>
      <c r="U57" s="4"/>
      <c r="V57" s="4"/>
      <c r="W57" s="4"/>
      <c r="X57" s="4"/>
      <c r="Y57" s="4"/>
      <c r="Z57" s="4"/>
    </row>
    <row r="58" spans="1:26" ht="94.35" customHeight="1" x14ac:dyDescent="0.2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4"/>
      <c r="Q58" s="15"/>
      <c r="R58" s="4"/>
      <c r="S58" s="4"/>
      <c r="T58" s="4"/>
      <c r="U58" s="4"/>
      <c r="V58" s="4"/>
      <c r="W58" s="4"/>
      <c r="X58" s="4"/>
      <c r="Y58" s="4"/>
      <c r="Z58" s="4"/>
    </row>
    <row r="59" spans="1:26" ht="94.35" customHeight="1" x14ac:dyDescent="0.2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4"/>
      <c r="Q59" s="15"/>
      <c r="R59" s="4"/>
      <c r="S59" s="4"/>
      <c r="T59" s="4"/>
      <c r="U59" s="4"/>
      <c r="V59" s="4"/>
      <c r="W59" s="4"/>
      <c r="X59" s="4"/>
      <c r="Y59" s="4"/>
      <c r="Z59" s="4"/>
    </row>
    <row r="60" spans="1:26" ht="94.35" customHeight="1" x14ac:dyDescent="0.2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4"/>
      <c r="Q60" s="15"/>
      <c r="R60" s="4"/>
      <c r="S60" s="4"/>
      <c r="T60" s="4"/>
      <c r="U60" s="4"/>
      <c r="V60" s="4"/>
      <c r="W60" s="4"/>
      <c r="X60" s="4"/>
      <c r="Y60" s="4"/>
      <c r="Z60" s="4"/>
    </row>
    <row r="61" spans="1:26" ht="94.35" customHeight="1" x14ac:dyDescent="0.2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4"/>
      <c r="Q61" s="15"/>
      <c r="R61" s="4"/>
      <c r="S61" s="4"/>
      <c r="T61" s="4"/>
      <c r="U61" s="4"/>
      <c r="V61" s="4"/>
      <c r="W61" s="4"/>
      <c r="X61" s="4"/>
      <c r="Y61" s="4"/>
      <c r="Z61" s="4"/>
    </row>
    <row r="62" spans="1:26" ht="94.35" customHeight="1" x14ac:dyDescent="0.2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4"/>
      <c r="Q62" s="15"/>
      <c r="R62" s="4"/>
      <c r="S62" s="4"/>
      <c r="T62" s="4"/>
      <c r="U62" s="4"/>
      <c r="V62" s="4"/>
      <c r="W62" s="4"/>
      <c r="X62" s="4"/>
      <c r="Y62" s="4"/>
      <c r="Z62" s="4"/>
    </row>
    <row r="63" spans="1:26" ht="94.35" customHeight="1" x14ac:dyDescent="0.2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4"/>
      <c r="Q63" s="15"/>
      <c r="R63" s="4"/>
      <c r="S63" s="4"/>
      <c r="T63" s="4"/>
      <c r="U63" s="4"/>
      <c r="V63" s="4"/>
      <c r="W63" s="4"/>
      <c r="X63" s="4"/>
      <c r="Y63" s="4"/>
      <c r="Z63" s="4"/>
    </row>
    <row r="64" spans="1:26" ht="94.35" customHeight="1" x14ac:dyDescent="0.2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4"/>
      <c r="Q64" s="15"/>
      <c r="R64" s="4"/>
      <c r="S64" s="4"/>
      <c r="T64" s="4"/>
      <c r="U64" s="4"/>
      <c r="V64" s="4"/>
      <c r="W64" s="4"/>
      <c r="X64" s="4"/>
      <c r="Y64" s="4"/>
      <c r="Z64" s="4"/>
    </row>
    <row r="65" spans="1:26" ht="94.35" customHeight="1" x14ac:dyDescent="0.2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4"/>
      <c r="Q65" s="15"/>
      <c r="R65" s="4"/>
      <c r="S65" s="4"/>
      <c r="T65" s="4"/>
      <c r="U65" s="4"/>
      <c r="V65" s="4"/>
      <c r="W65" s="4"/>
      <c r="X65" s="4"/>
      <c r="Y65" s="4"/>
      <c r="Z65" s="4"/>
    </row>
    <row r="66" spans="1:26" ht="94.35" customHeight="1" x14ac:dyDescent="0.2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4"/>
      <c r="Q66" s="15"/>
      <c r="R66" s="4"/>
      <c r="S66" s="4"/>
      <c r="T66" s="4"/>
      <c r="U66" s="4"/>
      <c r="V66" s="4"/>
      <c r="W66" s="4"/>
      <c r="X66" s="4"/>
      <c r="Y66" s="4"/>
      <c r="Z66" s="4"/>
    </row>
    <row r="67" spans="1:26" ht="94.35" customHeight="1" x14ac:dyDescent="0.2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4"/>
      <c r="Q67" s="15"/>
      <c r="R67" s="4"/>
      <c r="S67" s="4"/>
      <c r="T67" s="4"/>
      <c r="U67" s="4"/>
      <c r="V67" s="4"/>
      <c r="W67" s="4"/>
      <c r="X67" s="4"/>
      <c r="Y67" s="4"/>
      <c r="Z67" s="4"/>
    </row>
    <row r="68" spans="1:26" ht="94.35" customHeight="1" x14ac:dyDescent="0.2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4"/>
      <c r="Q68" s="15"/>
      <c r="R68" s="4"/>
      <c r="S68" s="4"/>
      <c r="T68" s="4"/>
      <c r="U68" s="4"/>
      <c r="V68" s="4"/>
      <c r="W68" s="4"/>
      <c r="X68" s="4"/>
      <c r="Y68" s="4"/>
      <c r="Z68" s="4"/>
    </row>
    <row r="69" spans="1:26" ht="94.35" customHeight="1" x14ac:dyDescent="0.2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4"/>
      <c r="Q69" s="15"/>
      <c r="R69" s="4"/>
      <c r="S69" s="4"/>
      <c r="T69" s="4"/>
      <c r="U69" s="4"/>
      <c r="V69" s="4"/>
      <c r="W69" s="4"/>
      <c r="X69" s="4"/>
      <c r="Y69" s="4"/>
      <c r="Z69" s="4"/>
    </row>
    <row r="70" spans="1:26" ht="94.35" customHeight="1" x14ac:dyDescent="0.2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4"/>
      <c r="Q70" s="15"/>
      <c r="R70" s="4"/>
      <c r="S70" s="4"/>
      <c r="T70" s="4"/>
      <c r="U70" s="4"/>
      <c r="V70" s="4"/>
      <c r="W70" s="4"/>
      <c r="X70" s="4"/>
      <c r="Y70" s="4"/>
      <c r="Z70" s="4"/>
    </row>
    <row r="71" spans="1:26" ht="94.35" customHeight="1" x14ac:dyDescent="0.2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4"/>
      <c r="Q71" s="15"/>
      <c r="R71" s="4"/>
      <c r="S71" s="4"/>
      <c r="T71" s="4"/>
      <c r="U71" s="4"/>
      <c r="V71" s="4"/>
      <c r="W71" s="4"/>
      <c r="X71" s="4"/>
      <c r="Y71" s="4"/>
      <c r="Z71" s="4"/>
    </row>
    <row r="72" spans="1:26" ht="94.35" customHeight="1" x14ac:dyDescent="0.2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4"/>
      <c r="Q72" s="15"/>
      <c r="R72" s="4"/>
      <c r="S72" s="4"/>
      <c r="T72" s="4"/>
      <c r="U72" s="4"/>
      <c r="V72" s="4"/>
      <c r="W72" s="4"/>
      <c r="X72" s="4"/>
      <c r="Y72" s="4"/>
      <c r="Z72" s="4"/>
    </row>
    <row r="73" spans="1:26" ht="94.35" customHeight="1" x14ac:dyDescent="0.2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4"/>
      <c r="Q73" s="15"/>
      <c r="R73" s="4"/>
      <c r="S73" s="4"/>
      <c r="T73" s="4"/>
      <c r="U73" s="4"/>
      <c r="V73" s="4"/>
      <c r="W73" s="4"/>
      <c r="X73" s="4"/>
      <c r="Y73" s="4"/>
      <c r="Z73" s="4"/>
    </row>
    <row r="74" spans="1:26" ht="94.35" customHeight="1" x14ac:dyDescent="0.2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4"/>
      <c r="Q74" s="15"/>
      <c r="R74" s="4"/>
      <c r="S74" s="4"/>
      <c r="T74" s="4"/>
      <c r="U74" s="4"/>
      <c r="V74" s="4"/>
      <c r="W74" s="4"/>
      <c r="X74" s="4"/>
      <c r="Y74" s="4"/>
      <c r="Z74" s="4"/>
    </row>
    <row r="75" spans="1:26" ht="94.35" customHeight="1" x14ac:dyDescent="0.2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4"/>
      <c r="Q75" s="15"/>
      <c r="R75" s="4"/>
      <c r="S75" s="4"/>
      <c r="T75" s="4"/>
      <c r="U75" s="4"/>
      <c r="V75" s="4"/>
      <c r="W75" s="4"/>
      <c r="X75" s="4"/>
      <c r="Y75" s="4"/>
      <c r="Z75" s="4"/>
    </row>
    <row r="76" spans="1:26" ht="94.35" customHeight="1" x14ac:dyDescent="0.2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4"/>
      <c r="Q76" s="15"/>
      <c r="R76" s="4"/>
      <c r="S76" s="4"/>
      <c r="T76" s="4"/>
      <c r="U76" s="4"/>
      <c r="V76" s="4"/>
      <c r="W76" s="4"/>
      <c r="X76" s="4"/>
      <c r="Y76" s="4"/>
      <c r="Z76" s="4"/>
    </row>
    <row r="77" spans="1:26" ht="94.35" customHeight="1" x14ac:dyDescent="0.2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4"/>
      <c r="Q77" s="15"/>
      <c r="R77" s="4"/>
      <c r="S77" s="4"/>
      <c r="T77" s="4"/>
      <c r="U77" s="4"/>
      <c r="V77" s="4"/>
      <c r="W77" s="4"/>
      <c r="X77" s="4"/>
      <c r="Y77" s="4"/>
      <c r="Z77" s="4"/>
    </row>
    <row r="78" spans="1:26" ht="94.35" customHeight="1" x14ac:dyDescent="0.2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4"/>
      <c r="Q78" s="15"/>
      <c r="R78" s="4"/>
      <c r="S78" s="4"/>
      <c r="T78" s="4"/>
      <c r="U78" s="4"/>
      <c r="V78" s="4"/>
      <c r="W78" s="4"/>
      <c r="X78" s="4"/>
      <c r="Y78" s="4"/>
      <c r="Z78" s="4"/>
    </row>
    <row r="79" spans="1:26" ht="94.35" customHeight="1" x14ac:dyDescent="0.2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4"/>
      <c r="Q79" s="15"/>
      <c r="R79" s="4"/>
      <c r="S79" s="4"/>
      <c r="T79" s="4"/>
      <c r="U79" s="4"/>
      <c r="V79" s="4"/>
      <c r="W79" s="4"/>
      <c r="X79" s="4"/>
      <c r="Y79" s="4"/>
      <c r="Z79" s="4"/>
    </row>
    <row r="80" spans="1:26" ht="94.35" customHeight="1" x14ac:dyDescent="0.2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4"/>
      <c r="Q80" s="15"/>
      <c r="R80" s="4"/>
      <c r="S80" s="4"/>
      <c r="T80" s="4"/>
      <c r="U80" s="4"/>
      <c r="V80" s="4"/>
      <c r="W80" s="4"/>
      <c r="X80" s="4"/>
      <c r="Y80" s="4"/>
      <c r="Z80" s="4"/>
    </row>
    <row r="81" spans="1:26" ht="94.3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15"/>
      <c r="R81" s="4"/>
      <c r="S81" s="4"/>
      <c r="T81" s="4"/>
      <c r="U81" s="4"/>
      <c r="V81" s="4"/>
      <c r="W81" s="4"/>
      <c r="X81" s="4"/>
      <c r="Y81" s="4"/>
      <c r="Z81" s="4"/>
    </row>
    <row r="82" spans="1:26" ht="94.3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15"/>
      <c r="R82" s="4"/>
      <c r="S82" s="4"/>
      <c r="T82" s="4"/>
      <c r="U82" s="4"/>
      <c r="V82" s="4"/>
      <c r="W82" s="4"/>
      <c r="X82" s="4"/>
      <c r="Y82" s="4"/>
      <c r="Z82" s="4"/>
    </row>
    <row r="83" spans="1:26" ht="94.3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15"/>
      <c r="R83" s="4"/>
      <c r="S83" s="4"/>
      <c r="T83" s="4"/>
      <c r="U83" s="4"/>
      <c r="V83" s="4"/>
      <c r="W83" s="4"/>
      <c r="X83" s="4"/>
      <c r="Y83" s="4"/>
      <c r="Z83" s="4"/>
    </row>
    <row r="84" spans="1:26" ht="94.3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15"/>
      <c r="R84" s="4"/>
      <c r="S84" s="4"/>
      <c r="T84" s="4"/>
      <c r="U84" s="4"/>
      <c r="V84" s="4"/>
      <c r="W84" s="4"/>
      <c r="X84" s="4"/>
      <c r="Y84" s="4"/>
      <c r="Z84" s="4"/>
    </row>
    <row r="85" spans="1:26" ht="94.3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15"/>
      <c r="R85" s="4"/>
      <c r="S85" s="4"/>
      <c r="T85" s="4"/>
      <c r="U85" s="4"/>
      <c r="V85" s="4"/>
      <c r="W85" s="4"/>
      <c r="X85" s="4"/>
      <c r="Y85" s="4"/>
      <c r="Z85" s="4"/>
    </row>
    <row r="86" spans="1:26" ht="94.3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15"/>
      <c r="R86" s="4"/>
      <c r="S86" s="4"/>
      <c r="T86" s="4"/>
      <c r="U86" s="4"/>
      <c r="V86" s="4"/>
      <c r="W86" s="4"/>
      <c r="X86" s="4"/>
      <c r="Y86" s="4"/>
      <c r="Z86" s="4"/>
    </row>
    <row r="87" spans="1:26" ht="94.3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15"/>
      <c r="R87" s="4"/>
      <c r="S87" s="4"/>
      <c r="T87" s="4"/>
      <c r="U87" s="4"/>
      <c r="V87" s="4"/>
      <c r="W87" s="4"/>
      <c r="X87" s="4"/>
      <c r="Y87" s="4"/>
      <c r="Z87" s="4"/>
    </row>
    <row r="88" spans="1:26" ht="94.3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15"/>
      <c r="R88" s="4"/>
      <c r="S88" s="4"/>
      <c r="T88" s="4"/>
      <c r="U88" s="4"/>
      <c r="V88" s="4"/>
      <c r="W88" s="4"/>
      <c r="X88" s="4"/>
      <c r="Y88" s="4"/>
      <c r="Z88" s="4"/>
    </row>
    <row r="89" spans="1:26" ht="94.3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15"/>
      <c r="R89" s="4"/>
      <c r="S89" s="4"/>
      <c r="T89" s="4"/>
      <c r="U89" s="4"/>
      <c r="V89" s="4"/>
      <c r="W89" s="4"/>
      <c r="X89" s="4"/>
      <c r="Y89" s="4"/>
      <c r="Z89" s="4"/>
    </row>
    <row r="90" spans="1:26" ht="94.3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15"/>
      <c r="R90" s="4"/>
      <c r="S90" s="4"/>
      <c r="T90" s="4"/>
      <c r="U90" s="4"/>
      <c r="V90" s="4"/>
      <c r="W90" s="4"/>
      <c r="X90" s="4"/>
      <c r="Y90" s="4"/>
      <c r="Z90" s="4"/>
    </row>
    <row r="91" spans="1:26" ht="94.3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15"/>
      <c r="R91" s="4"/>
      <c r="S91" s="4"/>
      <c r="T91" s="4"/>
      <c r="U91" s="4"/>
      <c r="V91" s="4"/>
      <c r="W91" s="4"/>
      <c r="X91" s="4"/>
      <c r="Y91" s="4"/>
      <c r="Z91" s="4"/>
    </row>
    <row r="92" spans="1:26" ht="94.3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15"/>
      <c r="R92" s="4"/>
      <c r="S92" s="4"/>
      <c r="T92" s="4"/>
      <c r="U92" s="4"/>
      <c r="V92" s="4"/>
      <c r="W92" s="4"/>
      <c r="X92" s="4"/>
      <c r="Y92" s="4"/>
      <c r="Z92" s="4"/>
    </row>
    <row r="93" spans="1:26" ht="94.3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15"/>
      <c r="R93" s="4"/>
      <c r="S93" s="4"/>
      <c r="T93" s="4"/>
      <c r="U93" s="4"/>
      <c r="V93" s="4"/>
      <c r="W93" s="4"/>
      <c r="X93" s="4"/>
      <c r="Y93" s="4"/>
      <c r="Z93" s="4"/>
    </row>
    <row r="94" spans="1:26" ht="94.3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15"/>
      <c r="R94" s="4"/>
      <c r="S94" s="4"/>
      <c r="T94" s="4"/>
      <c r="U94" s="4"/>
      <c r="V94" s="4"/>
      <c r="W94" s="4"/>
      <c r="X94" s="4"/>
      <c r="Y94" s="4"/>
      <c r="Z94" s="4"/>
    </row>
    <row r="95" spans="1:26" ht="94.3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15"/>
      <c r="R95" s="4"/>
      <c r="S95" s="4"/>
      <c r="T95" s="4"/>
      <c r="U95" s="4"/>
      <c r="V95" s="4"/>
      <c r="W95" s="4"/>
      <c r="X95" s="4"/>
      <c r="Y95" s="4"/>
      <c r="Z95" s="4"/>
    </row>
    <row r="96" spans="1:26" ht="94.3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15"/>
      <c r="R96" s="4"/>
      <c r="S96" s="4"/>
      <c r="T96" s="4"/>
      <c r="U96" s="4"/>
      <c r="V96" s="4"/>
      <c r="W96" s="4"/>
      <c r="X96" s="4"/>
      <c r="Y96" s="4"/>
      <c r="Z96" s="4"/>
    </row>
    <row r="97" spans="1:26" ht="94.3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15"/>
      <c r="R97" s="4"/>
      <c r="S97" s="4"/>
      <c r="T97" s="4"/>
      <c r="U97" s="4"/>
      <c r="V97" s="4"/>
      <c r="W97" s="4"/>
      <c r="X97" s="4"/>
      <c r="Y97" s="4"/>
      <c r="Z97" s="4"/>
    </row>
    <row r="98" spans="1:26" ht="94.3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15"/>
      <c r="R98" s="4"/>
      <c r="S98" s="4"/>
      <c r="T98" s="4"/>
      <c r="U98" s="4"/>
      <c r="V98" s="4"/>
      <c r="W98" s="4"/>
      <c r="X98" s="4"/>
      <c r="Y98" s="4"/>
      <c r="Z98" s="4"/>
    </row>
    <row r="99" spans="1:26" ht="94.3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15"/>
      <c r="R99" s="4"/>
      <c r="S99" s="4"/>
      <c r="T99" s="4"/>
      <c r="U99" s="4"/>
      <c r="V99" s="4"/>
      <c r="W99" s="4"/>
      <c r="X99" s="4"/>
      <c r="Y99" s="4"/>
      <c r="Z99" s="4"/>
    </row>
    <row r="100" spans="1:26" ht="94.3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15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0.199999999999999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15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0.199999999999999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15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0.199999999999999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15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0.199999999999999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15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0.199999999999999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15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0.199999999999999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15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0.199999999999999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15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0.199999999999999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15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0.199999999999999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15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0.199999999999999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15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0.199999999999999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15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0.199999999999999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15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0.199999999999999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15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0.199999999999999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15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0.199999999999999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15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0.199999999999999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15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0.199999999999999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15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0.199999999999999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15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0.199999999999999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15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0.199999999999999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15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0.199999999999999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15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0.199999999999999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15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0.199999999999999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15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0.199999999999999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15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0.199999999999999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15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0.199999999999999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15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0.199999999999999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15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0.199999999999999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15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0.199999999999999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15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0.199999999999999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15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0.199999999999999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15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0.199999999999999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15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0.199999999999999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15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0.199999999999999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15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0.199999999999999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15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0.199999999999999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15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0.199999999999999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15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0.199999999999999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15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0.199999999999999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15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0.199999999999999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15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0.199999999999999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15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0.199999999999999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15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0.199999999999999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15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0.199999999999999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15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0.199999999999999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15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0.199999999999999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15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0.199999999999999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15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0.199999999999999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15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0.199999999999999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15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0.199999999999999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15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0.199999999999999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15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0.199999999999999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15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0.199999999999999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15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0.199999999999999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15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0.199999999999999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15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0.199999999999999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15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0.199999999999999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15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0.199999999999999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15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0.199999999999999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15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0.199999999999999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15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0.199999999999999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15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0.199999999999999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15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0.199999999999999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15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0.199999999999999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15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0.199999999999999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15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0.199999999999999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15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0.199999999999999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15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0.199999999999999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15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0.199999999999999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15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0.199999999999999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15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0.199999999999999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15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0.199999999999999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15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0.199999999999999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15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0.199999999999999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15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0.199999999999999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15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0.199999999999999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15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0.199999999999999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15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0.199999999999999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15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0.199999999999999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15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0.199999999999999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15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0.199999999999999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15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0.199999999999999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15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0.199999999999999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15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0.199999999999999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15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0.199999999999999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15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0.199999999999999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15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0.199999999999999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15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0.199999999999999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15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0.199999999999999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15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0.199999999999999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15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0.199999999999999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15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0.199999999999999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15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0.199999999999999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15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0.199999999999999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15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0.199999999999999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15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0.199999999999999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15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0.199999999999999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15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0.199999999999999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15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0.199999999999999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15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0.199999999999999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15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0.199999999999999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15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0.199999999999999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15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0.199999999999999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15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0.199999999999999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15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0.199999999999999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15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0.199999999999999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15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0.199999999999999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15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0.199999999999999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15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0.199999999999999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15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0.199999999999999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15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0.199999999999999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15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0.199999999999999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15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0.199999999999999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15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0.199999999999999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15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0.199999999999999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15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0.199999999999999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15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0.199999999999999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15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0.199999999999999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15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0.199999999999999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15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0.199999999999999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15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0.199999999999999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15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0.199999999999999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15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0.199999999999999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15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0.199999999999999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15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0.199999999999999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15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0.199999999999999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15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0.199999999999999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15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0.199999999999999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15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0.199999999999999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15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0.199999999999999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15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0.199999999999999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15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0.199999999999999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15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0.199999999999999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15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0.199999999999999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15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0.199999999999999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15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0.199999999999999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15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0.199999999999999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15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0.199999999999999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15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0.199999999999999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15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0.199999999999999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15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0.199999999999999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15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0.199999999999999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15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0.199999999999999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15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0.199999999999999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15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0.199999999999999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15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0.199999999999999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15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0.199999999999999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15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0.199999999999999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15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0.199999999999999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15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0.199999999999999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15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0.199999999999999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15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0.199999999999999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15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0.199999999999999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15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0.199999999999999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15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0.199999999999999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15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0.199999999999999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15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0.199999999999999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15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0.199999999999999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15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0.199999999999999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15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0.199999999999999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15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0.199999999999999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15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0.199999999999999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15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0.199999999999999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15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0.199999999999999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15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0.199999999999999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15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0.199999999999999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15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0.199999999999999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15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0.199999999999999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15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0.199999999999999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15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0.199999999999999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15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0.199999999999999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15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0.199999999999999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15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0.199999999999999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15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0.199999999999999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15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0.199999999999999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15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0.199999999999999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15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0.199999999999999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15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0.199999999999999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15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0.199999999999999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15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0.199999999999999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15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0.199999999999999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15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0.199999999999999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15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0.199999999999999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15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0.199999999999999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15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0.199999999999999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15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0.199999999999999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15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0.199999999999999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15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0.199999999999999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15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0.199999999999999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15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0.199999999999999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15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0.199999999999999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15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0.199999999999999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15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0.199999999999999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15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0.199999999999999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15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0.199999999999999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15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0.199999999999999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15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0.199999999999999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15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0.199999999999999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15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0.199999999999999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15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0.199999999999999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15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0.199999999999999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15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0.199999999999999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15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0.199999999999999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15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0.199999999999999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15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0.199999999999999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15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0.199999999999999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15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0.199999999999999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15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0.199999999999999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15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0.199999999999999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15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0.199999999999999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15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0.199999999999999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15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0.199999999999999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15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0.199999999999999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15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0.199999999999999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15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0.199999999999999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15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0.199999999999999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15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0.199999999999999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15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0.199999999999999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15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0.199999999999999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15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0.199999999999999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15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0.199999999999999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15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0.199999999999999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15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0.199999999999999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15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0.199999999999999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15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0.199999999999999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15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0.199999999999999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15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0.199999999999999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15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0.199999999999999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15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0.199999999999999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15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0.199999999999999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15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0.199999999999999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15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0.199999999999999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15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0.199999999999999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15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0.199999999999999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15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0.199999999999999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15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0.199999999999999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15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0.199999999999999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15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0.199999999999999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15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0.199999999999999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15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0.199999999999999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15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0.199999999999999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15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0.199999999999999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15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0.199999999999999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15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0.199999999999999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15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0.199999999999999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15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0.199999999999999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15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0.199999999999999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15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0.199999999999999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15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0.199999999999999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15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0.199999999999999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15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0.199999999999999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15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0.199999999999999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15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0.199999999999999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15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0.199999999999999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15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0.199999999999999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15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0.199999999999999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15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0.199999999999999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15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0.199999999999999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15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0.199999999999999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15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0.199999999999999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15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0.199999999999999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15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0.199999999999999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15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0.199999999999999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15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0.199999999999999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15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0.199999999999999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15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0.199999999999999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15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0.199999999999999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15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0.199999999999999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15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0.199999999999999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15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0.199999999999999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15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0.199999999999999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15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0.199999999999999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15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0.199999999999999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15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0.199999999999999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15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0.199999999999999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15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0.199999999999999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15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0.199999999999999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15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0.199999999999999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15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0.199999999999999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15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0.199999999999999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15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0.199999999999999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15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0.199999999999999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15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0.199999999999999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15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0.199999999999999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15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0.199999999999999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15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0.199999999999999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15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0.199999999999999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15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0.199999999999999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15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0.199999999999999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15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0.199999999999999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15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0.199999999999999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15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0.199999999999999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15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0.199999999999999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15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0.199999999999999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15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0.199999999999999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15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0.199999999999999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15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0.199999999999999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15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0.199999999999999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15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0.199999999999999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15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0.199999999999999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15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0.199999999999999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15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0.199999999999999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15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0.199999999999999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15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0.199999999999999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15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0.199999999999999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15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0.199999999999999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15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0.199999999999999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15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0.199999999999999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15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0.199999999999999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15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0.199999999999999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15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0.199999999999999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15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0.199999999999999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15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0.199999999999999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15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0.199999999999999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15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0.199999999999999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15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0.199999999999999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15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0.199999999999999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15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0.199999999999999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15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0.199999999999999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15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0.199999999999999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15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0.199999999999999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15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0.199999999999999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15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0.199999999999999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15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0.199999999999999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15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0.199999999999999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15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0.199999999999999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15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0.199999999999999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15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0.199999999999999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15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0.199999999999999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15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0.199999999999999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15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0.199999999999999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15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0.199999999999999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15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0.199999999999999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15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0.199999999999999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15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0.199999999999999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15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0.199999999999999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15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0.199999999999999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15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0.199999999999999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15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0.199999999999999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15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0.199999999999999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15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0.199999999999999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15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0.199999999999999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15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0.199999999999999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15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0.199999999999999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15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0.199999999999999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15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0.199999999999999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15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0.199999999999999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15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0.199999999999999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15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0.199999999999999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15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0.199999999999999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15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0.199999999999999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15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0.199999999999999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15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0.199999999999999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15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0.199999999999999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15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0.199999999999999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15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0.199999999999999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15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0.199999999999999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15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0.199999999999999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15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0.199999999999999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15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0.199999999999999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15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0.199999999999999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15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0.199999999999999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15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0.199999999999999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15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0.199999999999999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15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0.199999999999999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15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0.199999999999999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15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0.199999999999999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15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0.199999999999999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15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0.199999999999999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15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0.199999999999999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15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0.199999999999999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15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0.199999999999999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15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0.199999999999999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15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0.199999999999999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15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0.199999999999999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15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0.199999999999999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15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0.199999999999999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15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0.199999999999999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15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0.199999999999999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15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0.199999999999999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15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0.199999999999999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15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0.199999999999999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15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0.199999999999999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15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0.199999999999999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15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0.199999999999999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15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0.199999999999999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15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0.199999999999999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15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0.199999999999999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15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0.199999999999999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15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0.199999999999999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15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0.199999999999999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15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0.199999999999999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15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0.199999999999999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15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0.199999999999999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15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0.199999999999999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15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0.199999999999999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15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0.199999999999999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15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0.199999999999999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15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0.199999999999999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15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0.199999999999999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15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0.199999999999999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15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0.199999999999999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15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0.199999999999999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15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0.199999999999999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15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0.199999999999999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15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0.199999999999999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15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0.199999999999999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15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0.199999999999999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15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0.199999999999999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15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0.199999999999999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15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0.199999999999999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15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0.199999999999999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15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0.199999999999999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15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0.199999999999999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15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0.199999999999999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15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0.199999999999999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15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0.199999999999999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15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0.199999999999999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15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0.199999999999999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15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0.199999999999999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15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0.199999999999999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15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0.199999999999999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15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0.199999999999999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15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0.199999999999999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15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0.199999999999999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15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0.199999999999999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15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0.199999999999999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15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0.199999999999999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15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0.199999999999999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15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0.199999999999999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15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0.199999999999999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15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0.199999999999999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15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0.199999999999999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15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0.199999999999999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15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0.199999999999999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15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0.199999999999999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15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0.199999999999999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15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0.199999999999999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15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0.199999999999999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15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0.199999999999999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15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0.199999999999999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15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0.199999999999999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15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0.199999999999999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15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0.199999999999999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15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0.199999999999999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15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0.199999999999999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15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0.199999999999999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15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0.199999999999999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15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0.199999999999999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15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0.199999999999999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15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0.199999999999999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15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0.199999999999999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15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0.199999999999999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15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0.199999999999999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15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0.199999999999999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15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0.199999999999999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15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0.199999999999999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15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0.199999999999999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15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0.199999999999999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15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0.199999999999999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15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0.199999999999999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15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0.199999999999999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15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0.199999999999999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15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0.199999999999999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15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0.199999999999999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15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0.199999999999999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15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0.199999999999999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15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0.199999999999999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15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0.199999999999999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15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0.199999999999999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15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0.199999999999999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15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0.199999999999999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15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0.199999999999999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15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0.199999999999999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15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0.199999999999999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15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0.199999999999999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15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0.199999999999999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15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0.199999999999999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15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0.199999999999999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15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0.199999999999999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15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0.199999999999999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15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0.199999999999999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15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0.199999999999999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15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0.199999999999999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15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0.199999999999999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15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0.199999999999999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15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0.199999999999999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15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0.199999999999999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15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0.199999999999999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15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0.199999999999999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15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0.199999999999999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15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0.199999999999999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15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0.199999999999999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15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0.199999999999999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15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0.199999999999999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15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0.199999999999999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15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0.199999999999999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15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0.199999999999999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15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0.199999999999999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15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0.199999999999999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15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0.199999999999999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15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0.199999999999999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15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0.199999999999999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15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0.199999999999999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15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0.199999999999999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15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0.199999999999999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15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0.199999999999999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15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0.199999999999999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15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0.199999999999999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15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0.199999999999999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15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0.199999999999999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15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0.199999999999999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15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0.199999999999999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15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0.199999999999999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15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0.199999999999999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15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0.199999999999999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15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0.199999999999999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15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0.199999999999999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15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0.199999999999999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15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0.199999999999999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15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0.199999999999999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15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0.199999999999999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15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0.199999999999999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15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0.199999999999999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15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0.199999999999999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15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0.199999999999999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15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0.199999999999999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15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0.199999999999999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15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0.199999999999999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15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0.199999999999999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15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0.199999999999999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15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0.199999999999999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15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0.199999999999999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15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0.199999999999999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15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0.199999999999999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15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0.199999999999999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15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0.199999999999999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15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0.199999999999999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15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0.199999999999999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15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0.199999999999999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15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0.199999999999999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15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0.199999999999999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15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0.199999999999999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15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0.199999999999999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15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0.199999999999999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15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0.199999999999999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15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0.199999999999999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15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0.199999999999999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15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0.199999999999999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15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0.199999999999999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15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0.199999999999999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15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0.199999999999999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15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0.199999999999999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15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0.199999999999999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15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0.199999999999999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15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0.199999999999999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15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0.199999999999999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15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0.199999999999999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15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0.199999999999999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15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0.199999999999999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15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0.199999999999999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15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0.199999999999999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15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0.199999999999999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15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0.199999999999999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15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0.199999999999999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15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0.199999999999999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15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0.199999999999999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15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0.199999999999999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15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0.199999999999999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15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0.199999999999999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15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0.199999999999999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15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0.199999999999999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15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0.199999999999999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15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0.199999999999999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15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0.199999999999999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15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0.199999999999999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15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0.199999999999999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15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0.199999999999999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15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0.199999999999999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15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0.199999999999999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15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0.199999999999999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15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0.199999999999999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15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0.199999999999999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15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0.199999999999999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15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0.199999999999999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15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0.199999999999999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15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0.199999999999999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15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0.199999999999999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15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0.199999999999999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15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0.199999999999999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15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0.199999999999999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15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0.199999999999999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15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0.199999999999999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15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0.199999999999999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15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0.199999999999999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15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0.199999999999999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15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0.199999999999999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15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0.199999999999999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15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0.199999999999999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15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0.199999999999999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15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0.199999999999999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15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0.199999999999999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15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0.199999999999999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15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0.199999999999999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15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0.199999999999999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15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0.199999999999999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15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0.199999999999999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15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0.199999999999999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15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0.199999999999999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15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0.199999999999999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15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0.199999999999999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15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0.199999999999999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15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0.199999999999999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15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0.199999999999999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15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0.199999999999999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15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0.199999999999999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15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0.199999999999999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15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0.199999999999999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15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0.199999999999999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15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0.199999999999999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15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0.199999999999999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15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0.199999999999999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15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0.199999999999999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15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0.199999999999999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15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0.199999999999999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15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0.199999999999999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15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0.199999999999999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15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0.199999999999999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15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0.199999999999999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15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0.199999999999999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15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0.199999999999999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15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0.199999999999999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15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0.199999999999999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15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0.199999999999999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15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0.199999999999999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15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0.199999999999999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15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0.199999999999999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15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0.199999999999999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15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0.199999999999999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15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0.199999999999999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15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0.199999999999999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15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0.199999999999999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15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0.199999999999999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15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0.199999999999999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15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0.199999999999999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15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0.199999999999999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15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0.199999999999999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15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0.199999999999999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15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0.199999999999999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15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0.199999999999999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15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0.199999999999999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15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0.199999999999999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15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0.199999999999999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15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0.199999999999999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15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0.199999999999999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15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0.199999999999999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15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0.199999999999999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15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0.199999999999999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15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0.199999999999999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15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0.199999999999999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15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0.199999999999999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15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0.199999999999999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15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0.199999999999999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15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0.199999999999999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15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0.199999999999999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15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0.199999999999999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15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0.199999999999999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15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0.199999999999999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15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0.199999999999999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15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0.199999999999999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15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0.199999999999999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15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0.199999999999999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15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0.199999999999999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15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0.199999999999999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15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0.199999999999999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15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0.199999999999999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15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0.199999999999999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15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0.199999999999999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15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0.199999999999999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15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0.199999999999999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15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0.199999999999999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15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0.199999999999999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15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0.199999999999999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15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0.199999999999999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15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0.199999999999999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15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0.199999999999999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15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0.199999999999999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15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0.199999999999999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15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0.199999999999999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15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0.199999999999999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15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0.199999999999999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15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0.199999999999999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15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0.199999999999999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15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0.199999999999999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15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0.199999999999999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15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0.199999999999999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15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0.199999999999999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15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0.199999999999999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15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0.199999999999999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15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0.199999999999999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15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0.199999999999999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15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0.199999999999999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15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0.199999999999999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15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0.199999999999999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15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0.199999999999999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15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0.199999999999999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15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0.199999999999999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15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0.199999999999999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15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0.199999999999999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15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0.199999999999999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15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0.199999999999999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15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0.199999999999999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15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0.199999999999999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15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0.199999999999999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15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0.199999999999999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15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0.199999999999999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15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0.199999999999999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15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0.199999999999999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15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0.199999999999999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15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0.199999999999999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15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0.199999999999999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15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0.199999999999999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15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0.199999999999999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15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0.199999999999999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15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0.199999999999999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15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0.199999999999999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15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0.199999999999999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15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0.199999999999999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15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0.199999999999999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15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0.199999999999999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15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0.199999999999999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15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0.199999999999999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15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0.199999999999999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15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0.199999999999999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15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0.199999999999999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15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0.199999999999999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15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0.199999999999999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15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0.199999999999999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15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0.199999999999999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15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0.199999999999999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15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0.199999999999999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15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0.199999999999999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15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0.199999999999999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15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0.199999999999999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15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0.199999999999999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15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0.199999999999999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15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0.199999999999999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15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0.199999999999999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15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0.199999999999999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15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0.199999999999999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15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0.199999999999999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15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0.199999999999999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15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0.199999999999999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15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0.199999999999999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15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0.199999999999999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15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0.199999999999999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15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0.199999999999999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15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0.199999999999999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15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0.199999999999999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15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0.199999999999999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15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0.199999999999999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15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0.199999999999999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15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0.199999999999999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15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0.199999999999999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15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0.199999999999999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15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0.199999999999999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15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0.199999999999999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15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0.199999999999999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15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0.199999999999999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15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0.199999999999999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15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0.199999999999999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15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0.199999999999999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15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0.199999999999999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15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0.199999999999999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15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0.199999999999999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15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0.199999999999999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15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0.199999999999999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15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0.199999999999999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15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0.199999999999999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15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0.199999999999999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15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0.199999999999999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15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0.199999999999999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15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0.199999999999999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15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0.199999999999999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15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0.199999999999999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15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0.199999999999999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15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0.199999999999999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15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0.199999999999999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15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0.199999999999999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15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0.199999999999999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15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0.199999999999999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15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0.199999999999999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15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0.199999999999999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15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0.199999999999999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15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0.199999999999999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15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0.199999999999999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15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0.199999999999999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15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0.199999999999999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15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0.199999999999999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15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0.199999999999999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15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0.199999999999999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15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0.199999999999999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15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0.199999999999999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15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0.199999999999999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15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0.199999999999999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15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0.199999999999999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15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0.199999999999999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15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0.199999999999999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15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0.199999999999999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15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0.199999999999999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15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0.199999999999999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15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0.199999999999999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15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0.199999999999999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15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0.199999999999999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15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0.199999999999999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15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0.199999999999999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15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0.199999999999999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15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0.199999999999999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15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0.199999999999999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15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0.199999999999999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15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0.199999999999999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15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0.199999999999999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15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0.199999999999999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15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0.199999999999999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15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0.199999999999999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15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0.199999999999999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15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0.199999999999999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15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0.199999999999999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15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0.199999999999999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15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0.199999999999999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15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0.199999999999999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15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0.199999999999999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15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0.199999999999999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15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0.199999999999999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15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0.199999999999999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15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0.199999999999999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15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0.199999999999999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15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0.199999999999999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15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0.199999999999999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15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0.199999999999999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15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0.199999999999999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15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0.199999999999999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15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0.199999999999999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15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0.199999999999999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15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0.199999999999999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15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0.199999999999999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15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0.199999999999999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15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0.199999999999999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15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0.199999999999999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15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0.199999999999999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15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0.199999999999999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15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0.199999999999999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15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0.199999999999999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15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0.199999999999999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15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0.199999999999999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15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0.199999999999999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15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0.199999999999999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15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0.199999999999999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15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0.199999999999999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15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0.199999999999999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15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0.199999999999999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15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0.199999999999999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15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0.199999999999999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15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0.199999999999999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15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0.199999999999999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15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0.199999999999999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15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0.199999999999999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15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0.199999999999999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15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0.199999999999999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15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0.199999999999999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15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0.199999999999999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15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0.199999999999999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15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0.199999999999999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15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0.199999999999999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15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0.199999999999999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15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0.199999999999999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15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0.199999999999999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15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0.199999999999999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15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0.199999999999999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15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0.199999999999999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15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0.199999999999999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15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0.199999999999999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15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0.199999999999999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15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0.199999999999999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15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0.199999999999999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15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0.199999999999999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15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0.199999999999999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15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0.199999999999999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15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0.199999999999999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15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0.199999999999999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15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0.199999999999999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15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0.199999999999999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15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0.199999999999999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15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0.199999999999999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15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0.199999999999999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15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0.199999999999999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15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0.199999999999999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15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0.199999999999999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15"/>
      <c r="R998" s="4"/>
      <c r="S998" s="4"/>
      <c r="T998" s="4"/>
      <c r="U998" s="4"/>
      <c r="V998" s="4"/>
      <c r="W998" s="4"/>
      <c r="X998" s="4"/>
      <c r="Y998" s="4"/>
      <c r="Z998" s="4"/>
    </row>
  </sheetData>
  <mergeCells count="4">
    <mergeCell ref="B1:E1"/>
    <mergeCell ref="A2:A3"/>
    <mergeCell ref="B2:E3"/>
    <mergeCell ref="B4:E4"/>
  </mergeCells>
  <dataValidations count="1">
    <dataValidation type="list" allowBlank="1" showErrorMessage="1" sqref="G2:G3 J2:J3 M2:M3 G9 J9 M9 F12:F17 I12:I17 L12:L17 G18:G145 J18:J145 M18:M145" xr:uid="{00000000-0002-0000-0B00-000000000000}">
      <formula1>$R$2:$R$5</formula1>
    </dataValidation>
  </dataValidations>
  <pageMargins left="0.7" right="0.7" top="0.75" bottom="0.75" header="0.3" footer="0.3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100"/>
  <sheetViews>
    <sheetView topLeftCell="A19" workbookViewId="0"/>
  </sheetViews>
  <sheetFormatPr defaultRowHeight="13.2" x14ac:dyDescent="0.2"/>
  <cols>
    <col min="1" max="1" width="14" customWidth="1"/>
    <col min="2" max="2" width="34" customWidth="1"/>
    <col min="3" max="3" width="58" customWidth="1"/>
    <col min="4" max="4" width="48" customWidth="1"/>
    <col min="5" max="5" width="38" customWidth="1"/>
    <col min="7" max="7" width="13" customWidth="1"/>
    <col min="10" max="10" width="13" customWidth="1"/>
    <col min="13" max="13" width="13" customWidth="1"/>
  </cols>
  <sheetData>
    <row r="1" spans="1:15" ht="13.8" x14ac:dyDescent="0.25">
      <c r="A1" s="68"/>
      <c r="B1" s="157"/>
      <c r="C1" s="157"/>
      <c r="D1" s="157"/>
      <c r="E1" s="157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ht="33.6" customHeight="1" x14ac:dyDescent="0.2">
      <c r="A2" s="158" t="s">
        <v>29</v>
      </c>
      <c r="B2" s="157" t="s">
        <v>549</v>
      </c>
      <c r="C2" s="157"/>
      <c r="D2" s="157"/>
      <c r="E2" s="157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ht="33.6" customHeight="1" x14ac:dyDescent="0.2">
      <c r="A3" s="158" t="s">
        <v>30</v>
      </c>
      <c r="B3" s="157" t="s">
        <v>550</v>
      </c>
      <c r="C3" s="157"/>
      <c r="D3" s="157"/>
      <c r="E3" s="157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ht="26.4" x14ac:dyDescent="0.25">
      <c r="A4" s="68" t="s">
        <v>31</v>
      </c>
      <c r="B4" s="157">
        <v>8</v>
      </c>
      <c r="C4" s="157"/>
      <c r="D4" s="157"/>
      <c r="E4" s="157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ht="26.4" x14ac:dyDescent="0.25">
      <c r="A5" s="69" t="s">
        <v>360</v>
      </c>
      <c r="B5" s="70" t="s">
        <v>24</v>
      </c>
      <c r="C5" s="70" t="s">
        <v>25</v>
      </c>
      <c r="D5" s="70" t="s">
        <v>26</v>
      </c>
      <c r="E5" s="70" t="s">
        <v>27</v>
      </c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ht="13.8" x14ac:dyDescent="0.25">
      <c r="A6" s="69" t="s">
        <v>361</v>
      </c>
      <c r="B6" s="70">
        <f>COUNTIF($F$12:$F$1005,B$5)</f>
        <v>8</v>
      </c>
      <c r="C6" s="70">
        <f>COUNTIF($F$12:$F$1005,C$5)</f>
        <v>0</v>
      </c>
      <c r="D6" s="70">
        <f>COUNTIF($F$12:$F$1005,D$5)</f>
        <v>0</v>
      </c>
      <c r="E6" s="70">
        <f>COUNTIF($F$12:$F$1005,E$5)</f>
        <v>0</v>
      </c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ht="13.8" x14ac:dyDescent="0.25">
      <c r="A7" s="69" t="s">
        <v>362</v>
      </c>
      <c r="B7" s="70">
        <f>COUNTIF($I$12:$I$1005,B$5)</f>
        <v>8</v>
      </c>
      <c r="C7" s="70">
        <f>COUNTIF($I$12:$I$1005,C$5)</f>
        <v>0</v>
      </c>
      <c r="D7" s="70">
        <f>COUNTIF($I$12:$I$1005,D$5)</f>
        <v>0</v>
      </c>
      <c r="E7" s="70">
        <f>COUNTIF($I$12:$I$1005,E$5)</f>
        <v>0</v>
      </c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ht="13.8" x14ac:dyDescent="0.25">
      <c r="A8" s="69" t="s">
        <v>363</v>
      </c>
      <c r="B8" s="70">
        <f>COUNTIF($L$12:$L$1005,B$5)</f>
        <v>8</v>
      </c>
      <c r="C8" s="70">
        <f>COUNTIF($L$12:$L$1005,C$5)</f>
        <v>0</v>
      </c>
      <c r="D8" s="70">
        <f>COUNTIF($L$12:$L$1005,D$5)</f>
        <v>0</v>
      </c>
      <c r="E8" s="70">
        <f>COUNTIF($L$12:$L$1005,E$5)</f>
        <v>0</v>
      </c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ht="26.4" x14ac:dyDescent="0.25">
      <c r="A10" s="71" t="s">
        <v>364</v>
      </c>
      <c r="B10" s="71" t="s">
        <v>365</v>
      </c>
      <c r="C10" s="71" t="s">
        <v>366</v>
      </c>
      <c r="D10" s="71" t="s">
        <v>367</v>
      </c>
      <c r="E10" s="71" t="s">
        <v>368</v>
      </c>
      <c r="F10" s="71" t="s">
        <v>361</v>
      </c>
      <c r="G10" s="71" t="s">
        <v>369</v>
      </c>
      <c r="H10" s="71" t="s">
        <v>370</v>
      </c>
      <c r="I10" s="71" t="s">
        <v>362</v>
      </c>
      <c r="J10" s="71" t="s">
        <v>369</v>
      </c>
      <c r="K10" s="71" t="s">
        <v>370</v>
      </c>
      <c r="L10" s="71" t="s">
        <v>363</v>
      </c>
      <c r="M10" s="71" t="s">
        <v>369</v>
      </c>
      <c r="N10" s="71" t="s">
        <v>370</v>
      </c>
      <c r="O10" s="71" t="s">
        <v>371</v>
      </c>
    </row>
    <row r="11" spans="1:15" ht="19.2" customHeight="1" x14ac:dyDescent="0.25">
      <c r="A11" s="62" t="s">
        <v>551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</row>
    <row r="12" spans="1:15" ht="94.35" customHeight="1" x14ac:dyDescent="0.25">
      <c r="A12" s="59" t="s">
        <v>552</v>
      </c>
      <c r="B12" s="59" t="s">
        <v>131</v>
      </c>
      <c r="C12" s="59" t="s">
        <v>553</v>
      </c>
      <c r="D12" s="59" t="s">
        <v>132</v>
      </c>
      <c r="E12" s="59" t="s">
        <v>133</v>
      </c>
      <c r="F12" s="59" t="s">
        <v>24</v>
      </c>
      <c r="G12" s="67">
        <v>46235</v>
      </c>
      <c r="H12" s="59" t="s">
        <v>375</v>
      </c>
      <c r="I12" s="59" t="s">
        <v>24</v>
      </c>
      <c r="J12" s="67">
        <v>46242</v>
      </c>
      <c r="K12" s="59" t="s">
        <v>375</v>
      </c>
      <c r="L12" s="59" t="s">
        <v>24</v>
      </c>
      <c r="M12" s="67">
        <v>46249</v>
      </c>
      <c r="N12" s="59" t="s">
        <v>375</v>
      </c>
      <c r="O12" s="59"/>
    </row>
    <row r="13" spans="1:15" ht="94.35" customHeight="1" x14ac:dyDescent="0.25">
      <c r="A13" s="59" t="s">
        <v>554</v>
      </c>
      <c r="B13" s="59" t="s">
        <v>134</v>
      </c>
      <c r="C13" s="59" t="s">
        <v>555</v>
      </c>
      <c r="D13" s="59" t="s">
        <v>135</v>
      </c>
      <c r="E13" s="59" t="s">
        <v>136</v>
      </c>
      <c r="F13" s="59" t="s">
        <v>24</v>
      </c>
      <c r="G13" s="67">
        <v>46235</v>
      </c>
      <c r="H13" s="59" t="s">
        <v>375</v>
      </c>
      <c r="I13" s="59" t="s">
        <v>24</v>
      </c>
      <c r="J13" s="67">
        <v>46242</v>
      </c>
      <c r="K13" s="59" t="s">
        <v>375</v>
      </c>
      <c r="L13" s="59" t="s">
        <v>24</v>
      </c>
      <c r="M13" s="67">
        <v>46249</v>
      </c>
      <c r="N13" s="59" t="s">
        <v>375</v>
      </c>
      <c r="O13" s="59"/>
    </row>
    <row r="14" spans="1:15" ht="94.35" customHeight="1" x14ac:dyDescent="0.25">
      <c r="A14" s="59" t="s">
        <v>556</v>
      </c>
      <c r="B14" s="59" t="s">
        <v>137</v>
      </c>
      <c r="C14" s="59" t="s">
        <v>557</v>
      </c>
      <c r="D14" s="59" t="s">
        <v>138</v>
      </c>
      <c r="E14" s="59" t="s">
        <v>139</v>
      </c>
      <c r="F14" s="59" t="s">
        <v>24</v>
      </c>
      <c r="G14" s="67">
        <v>46235</v>
      </c>
      <c r="H14" s="59" t="s">
        <v>375</v>
      </c>
      <c r="I14" s="59" t="s">
        <v>24</v>
      </c>
      <c r="J14" s="67">
        <v>46242</v>
      </c>
      <c r="K14" s="59" t="s">
        <v>375</v>
      </c>
      <c r="L14" s="59" t="s">
        <v>24</v>
      </c>
      <c r="M14" s="67">
        <v>46249</v>
      </c>
      <c r="N14" s="59" t="s">
        <v>375</v>
      </c>
      <c r="O14" s="59"/>
    </row>
    <row r="15" spans="1:15" ht="34.200000000000003" customHeight="1" x14ac:dyDescent="0.25">
      <c r="A15" s="62" t="s">
        <v>558</v>
      </c>
      <c r="B15" s="62"/>
      <c r="C15" s="62"/>
      <c r="D15" s="62"/>
      <c r="E15" s="62"/>
      <c r="F15" s="62"/>
      <c r="G15" s="66"/>
      <c r="H15" s="62"/>
      <c r="I15" s="62"/>
      <c r="J15" s="66"/>
      <c r="K15" s="62"/>
      <c r="L15" s="62"/>
      <c r="M15" s="66"/>
      <c r="N15" s="62"/>
      <c r="O15" s="62"/>
    </row>
    <row r="16" spans="1:15" ht="94.35" customHeight="1" x14ac:dyDescent="0.25">
      <c r="A16" s="59" t="s">
        <v>559</v>
      </c>
      <c r="B16" s="59" t="s">
        <v>140</v>
      </c>
      <c r="C16" s="59" t="s">
        <v>560</v>
      </c>
      <c r="D16" s="59" t="s">
        <v>141</v>
      </c>
      <c r="E16" s="59" t="s">
        <v>142</v>
      </c>
      <c r="F16" s="59" t="s">
        <v>24</v>
      </c>
      <c r="G16" s="67">
        <v>46235</v>
      </c>
      <c r="H16" s="59" t="s">
        <v>375</v>
      </c>
      <c r="I16" s="59" t="s">
        <v>24</v>
      </c>
      <c r="J16" s="67">
        <v>46242</v>
      </c>
      <c r="K16" s="59" t="s">
        <v>375</v>
      </c>
      <c r="L16" s="59" t="s">
        <v>24</v>
      </c>
      <c r="M16" s="67">
        <v>46249</v>
      </c>
      <c r="N16" s="59" t="s">
        <v>375</v>
      </c>
      <c r="O16" s="59"/>
    </row>
    <row r="17" spans="1:15" ht="94.35" customHeight="1" x14ac:dyDescent="0.25">
      <c r="A17" s="59" t="s">
        <v>561</v>
      </c>
      <c r="B17" s="59" t="s">
        <v>143</v>
      </c>
      <c r="C17" s="59" t="s">
        <v>562</v>
      </c>
      <c r="D17" s="59" t="s">
        <v>144</v>
      </c>
      <c r="E17" s="59" t="s">
        <v>145</v>
      </c>
      <c r="F17" s="59" t="s">
        <v>24</v>
      </c>
      <c r="G17" s="67">
        <v>46235</v>
      </c>
      <c r="H17" s="59" t="s">
        <v>375</v>
      </c>
      <c r="I17" s="59" t="s">
        <v>24</v>
      </c>
      <c r="J17" s="67">
        <v>46242</v>
      </c>
      <c r="K17" s="59" t="s">
        <v>375</v>
      </c>
      <c r="L17" s="59" t="s">
        <v>24</v>
      </c>
      <c r="M17" s="67">
        <v>46249</v>
      </c>
      <c r="N17" s="59" t="s">
        <v>375</v>
      </c>
      <c r="O17" s="59"/>
    </row>
    <row r="18" spans="1:15" ht="30.6" customHeight="1" x14ac:dyDescent="0.25">
      <c r="A18" s="62" t="s">
        <v>563</v>
      </c>
      <c r="B18" s="62"/>
      <c r="C18" s="62"/>
      <c r="D18" s="62"/>
      <c r="E18" s="62"/>
      <c r="F18" s="62"/>
      <c r="G18" s="66"/>
      <c r="H18" s="62"/>
      <c r="I18" s="62"/>
      <c r="J18" s="66"/>
      <c r="K18" s="62"/>
      <c r="L18" s="62"/>
      <c r="M18" s="66"/>
      <c r="N18" s="62"/>
      <c r="O18" s="62"/>
    </row>
    <row r="19" spans="1:15" ht="94.35" customHeight="1" x14ac:dyDescent="0.25">
      <c r="A19" s="59" t="s">
        <v>564</v>
      </c>
      <c r="B19" s="59" t="s">
        <v>146</v>
      </c>
      <c r="C19" s="59" t="s">
        <v>565</v>
      </c>
      <c r="D19" s="59" t="s">
        <v>147</v>
      </c>
      <c r="E19" s="59" t="s">
        <v>148</v>
      </c>
      <c r="F19" s="59" t="s">
        <v>24</v>
      </c>
      <c r="G19" s="67">
        <v>46235</v>
      </c>
      <c r="H19" s="59" t="s">
        <v>375</v>
      </c>
      <c r="I19" s="59" t="s">
        <v>24</v>
      </c>
      <c r="J19" s="67">
        <v>46242</v>
      </c>
      <c r="K19" s="59" t="s">
        <v>375</v>
      </c>
      <c r="L19" s="59" t="s">
        <v>24</v>
      </c>
      <c r="M19" s="67">
        <v>46249</v>
      </c>
      <c r="N19" s="59" t="s">
        <v>375</v>
      </c>
      <c r="O19" s="59"/>
    </row>
    <row r="20" spans="1:15" ht="94.35" customHeight="1" x14ac:dyDescent="0.25">
      <c r="A20" s="59" t="s">
        <v>566</v>
      </c>
      <c r="B20" s="59" t="s">
        <v>149</v>
      </c>
      <c r="C20" s="59" t="s">
        <v>567</v>
      </c>
      <c r="D20" s="59" t="s">
        <v>150</v>
      </c>
      <c r="E20" s="59" t="s">
        <v>151</v>
      </c>
      <c r="F20" s="59" t="s">
        <v>24</v>
      </c>
      <c r="G20" s="67">
        <v>46235</v>
      </c>
      <c r="H20" s="59" t="s">
        <v>375</v>
      </c>
      <c r="I20" s="59" t="s">
        <v>24</v>
      </c>
      <c r="J20" s="67">
        <v>46242</v>
      </c>
      <c r="K20" s="59" t="s">
        <v>375</v>
      </c>
      <c r="L20" s="59" t="s">
        <v>24</v>
      </c>
      <c r="M20" s="67">
        <v>46249</v>
      </c>
      <c r="N20" s="59" t="s">
        <v>375</v>
      </c>
      <c r="O20" s="59"/>
    </row>
    <row r="21" spans="1:15" ht="36.6" customHeight="1" x14ac:dyDescent="0.25">
      <c r="A21" s="62" t="s">
        <v>568</v>
      </c>
      <c r="B21" s="62"/>
      <c r="C21" s="62"/>
      <c r="D21" s="62"/>
      <c r="E21" s="62"/>
      <c r="F21" s="62"/>
      <c r="G21" s="66"/>
      <c r="H21" s="62"/>
      <c r="I21" s="62"/>
      <c r="J21" s="66"/>
      <c r="K21" s="62"/>
      <c r="L21" s="62"/>
      <c r="M21" s="66"/>
      <c r="N21" s="62"/>
      <c r="O21" s="62"/>
    </row>
    <row r="22" spans="1:15" ht="94.35" customHeight="1" x14ac:dyDescent="0.25">
      <c r="A22" s="59" t="s">
        <v>569</v>
      </c>
      <c r="B22" s="59" t="s">
        <v>152</v>
      </c>
      <c r="C22" s="59" t="s">
        <v>570</v>
      </c>
      <c r="D22" s="59" t="s">
        <v>153</v>
      </c>
      <c r="E22" s="59" t="s">
        <v>154</v>
      </c>
      <c r="F22" s="59" t="s">
        <v>24</v>
      </c>
      <c r="G22" s="67">
        <v>46235</v>
      </c>
      <c r="H22" s="59" t="s">
        <v>375</v>
      </c>
      <c r="I22" s="59" t="s">
        <v>24</v>
      </c>
      <c r="J22" s="67">
        <v>46242</v>
      </c>
      <c r="K22" s="59" t="s">
        <v>375</v>
      </c>
      <c r="L22" s="59" t="s">
        <v>24</v>
      </c>
      <c r="M22" s="67">
        <v>46249</v>
      </c>
      <c r="N22" s="59" t="s">
        <v>375</v>
      </c>
      <c r="O22" s="59"/>
    </row>
    <row r="23" spans="1:15" ht="94.35" customHeight="1" x14ac:dyDescent="0.2">
      <c r="A23" s="106"/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</row>
    <row r="24" spans="1:15" ht="94.35" customHeight="1" x14ac:dyDescent="0.2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</row>
    <row r="25" spans="1:15" ht="94.35" customHeight="1" x14ac:dyDescent="0.2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</row>
    <row r="26" spans="1:15" ht="94.35" customHeight="1" x14ac:dyDescent="0.2">
      <c r="A26" s="106"/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</row>
    <row r="27" spans="1:15" ht="94.35" customHeight="1" x14ac:dyDescent="0.2">
      <c r="A27" s="106"/>
      <c r="B27" s="106"/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</row>
    <row r="28" spans="1:15" ht="94.35" customHeight="1" x14ac:dyDescent="0.2">
      <c r="A28" s="106"/>
      <c r="B28" s="106"/>
      <c r="C28" s="106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</row>
    <row r="29" spans="1:15" ht="94.35" customHeight="1" x14ac:dyDescent="0.2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</row>
    <row r="30" spans="1:15" ht="94.35" customHeight="1" x14ac:dyDescent="0.2">
      <c r="A30" s="106"/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</row>
    <row r="31" spans="1:15" ht="94.35" customHeight="1" x14ac:dyDescent="0.2">
      <c r="A31" s="106"/>
      <c r="B31" s="106"/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</row>
    <row r="32" spans="1:15" ht="94.35" customHeight="1" x14ac:dyDescent="0.2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</row>
    <row r="33" spans="1:15" ht="94.35" customHeight="1" x14ac:dyDescent="0.2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</row>
    <row r="34" spans="1:15" ht="94.35" customHeight="1" x14ac:dyDescent="0.2">
      <c r="A34" s="106"/>
      <c r="B34" s="106"/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</row>
    <row r="35" spans="1:15" ht="94.35" customHeight="1" x14ac:dyDescent="0.2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</row>
    <row r="36" spans="1:15" ht="94.35" customHeight="1" x14ac:dyDescent="0.2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</row>
    <row r="37" spans="1:15" ht="94.35" customHeight="1" x14ac:dyDescent="0.2">
      <c r="A37" s="106"/>
      <c r="B37" s="106"/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</row>
    <row r="38" spans="1:15" ht="94.35" customHeight="1" x14ac:dyDescent="0.2">
      <c r="A38" s="106"/>
      <c r="B38" s="106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</row>
    <row r="39" spans="1:15" ht="94.35" customHeight="1" x14ac:dyDescent="0.2">
      <c r="A39" s="106"/>
      <c r="B39" s="106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</row>
    <row r="40" spans="1:15" ht="94.35" customHeight="1" x14ac:dyDescent="0.2">
      <c r="A40" s="106"/>
      <c r="B40" s="106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</row>
    <row r="41" spans="1:15" ht="94.35" customHeight="1" x14ac:dyDescent="0.2">
      <c r="A41" s="106"/>
      <c r="B41" s="106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</row>
    <row r="42" spans="1:15" ht="94.35" customHeight="1" x14ac:dyDescent="0.2">
      <c r="A42" s="106"/>
      <c r="B42" s="106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</row>
    <row r="43" spans="1:15" ht="94.35" customHeight="1" x14ac:dyDescent="0.2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</row>
    <row r="44" spans="1:15" ht="94.35" customHeight="1" x14ac:dyDescent="0.2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</row>
    <row r="45" spans="1:15" ht="94.35" customHeight="1" x14ac:dyDescent="0.2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</row>
    <row r="46" spans="1:15" ht="94.35" customHeight="1" x14ac:dyDescent="0.2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</row>
    <row r="47" spans="1:15" ht="94.35" customHeight="1" x14ac:dyDescent="0.2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</row>
    <row r="48" spans="1:15" ht="94.35" customHeight="1" x14ac:dyDescent="0.2">
      <c r="A48" s="106"/>
      <c r="B48" s="106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</row>
    <row r="49" spans="1:15" ht="94.35" customHeight="1" x14ac:dyDescent="0.2">
      <c r="A49" s="106"/>
      <c r="B49" s="106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</row>
    <row r="50" spans="1:15" ht="94.35" customHeight="1" x14ac:dyDescent="0.2">
      <c r="A50" s="106"/>
      <c r="B50" s="106"/>
      <c r="C50" s="106"/>
      <c r="D50" s="106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</row>
    <row r="51" spans="1:15" ht="94.35" customHeight="1" x14ac:dyDescent="0.2">
      <c r="A51" s="106"/>
      <c r="B51" s="106"/>
      <c r="C51" s="106"/>
      <c r="D51" s="106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</row>
    <row r="52" spans="1:15" ht="94.35" customHeight="1" x14ac:dyDescent="0.2">
      <c r="A52" s="106"/>
      <c r="B52" s="106"/>
      <c r="C52" s="106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</row>
    <row r="53" spans="1:15" ht="94.35" customHeight="1" x14ac:dyDescent="0.2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</row>
    <row r="54" spans="1:15" ht="94.35" customHeight="1" x14ac:dyDescent="0.2">
      <c r="A54" s="106"/>
      <c r="B54" s="106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</row>
    <row r="55" spans="1:15" ht="94.35" customHeight="1" x14ac:dyDescent="0.2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</row>
    <row r="56" spans="1:15" ht="94.35" customHeight="1" x14ac:dyDescent="0.2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</row>
    <row r="57" spans="1:15" ht="94.35" customHeight="1" x14ac:dyDescent="0.2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</row>
    <row r="58" spans="1:15" ht="94.35" customHeight="1" x14ac:dyDescent="0.2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</row>
    <row r="59" spans="1:15" ht="94.35" customHeight="1" x14ac:dyDescent="0.2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</row>
    <row r="60" spans="1:15" ht="94.35" customHeight="1" x14ac:dyDescent="0.2">
      <c r="A60" s="106"/>
      <c r="B60" s="106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</row>
    <row r="61" spans="1:15" ht="94.35" customHeight="1" x14ac:dyDescent="0.2">
      <c r="A61" s="106"/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</row>
    <row r="62" spans="1:15" ht="94.35" customHeight="1" x14ac:dyDescent="0.2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</row>
    <row r="63" spans="1:15" ht="94.35" customHeight="1" x14ac:dyDescent="0.2">
      <c r="A63" s="106"/>
      <c r="B63" s="106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</row>
    <row r="64" spans="1:15" ht="94.35" customHeight="1" x14ac:dyDescent="0.2">
      <c r="A64" s="106"/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</row>
    <row r="65" spans="1:15" ht="94.35" customHeight="1" x14ac:dyDescent="0.2">
      <c r="A65" s="106"/>
      <c r="B65" s="106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</row>
    <row r="66" spans="1:15" ht="94.35" customHeight="1" x14ac:dyDescent="0.2">
      <c r="A66" s="106"/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</row>
    <row r="67" spans="1:15" ht="94.35" customHeight="1" x14ac:dyDescent="0.2">
      <c r="A67" s="106"/>
      <c r="B67" s="106"/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</row>
    <row r="68" spans="1:15" ht="94.35" customHeight="1" x14ac:dyDescent="0.2">
      <c r="A68" s="106"/>
      <c r="B68" s="106"/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</row>
    <row r="69" spans="1:15" ht="94.35" customHeight="1" x14ac:dyDescent="0.2">
      <c r="A69" s="106"/>
      <c r="B69" s="106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</row>
    <row r="70" spans="1:15" ht="94.35" customHeight="1" x14ac:dyDescent="0.2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</row>
    <row r="71" spans="1:15" ht="94.35" customHeight="1" x14ac:dyDescent="0.2">
      <c r="A71" s="106"/>
      <c r="B71" s="106"/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</row>
    <row r="72" spans="1:15" ht="94.35" customHeight="1" x14ac:dyDescent="0.2">
      <c r="A72" s="106"/>
      <c r="B72" s="106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</row>
    <row r="73" spans="1:15" ht="94.35" customHeight="1" x14ac:dyDescent="0.2">
      <c r="A73" s="106"/>
      <c r="B73" s="106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</row>
    <row r="74" spans="1:15" ht="94.35" customHeight="1" x14ac:dyDescent="0.2">
      <c r="A74" s="106"/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</row>
    <row r="75" spans="1:15" ht="94.35" customHeight="1" x14ac:dyDescent="0.2">
      <c r="A75" s="106"/>
      <c r="B75" s="106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</row>
    <row r="76" spans="1:15" ht="94.35" customHeight="1" x14ac:dyDescent="0.2">
      <c r="A76" s="106"/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</row>
    <row r="77" spans="1:15" ht="94.35" customHeight="1" x14ac:dyDescent="0.2">
      <c r="A77" s="106"/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</row>
    <row r="78" spans="1:15" ht="94.35" customHeight="1" x14ac:dyDescent="0.2">
      <c r="A78" s="106"/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</row>
    <row r="79" spans="1:15" ht="94.35" customHeight="1" x14ac:dyDescent="0.2">
      <c r="A79" s="106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</row>
    <row r="80" spans="1:15" ht="94.35" customHeight="1" x14ac:dyDescent="0.2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</row>
    <row r="81" ht="94.35" customHeight="1" x14ac:dyDescent="0.2"/>
    <row r="82" ht="94.35" customHeight="1" x14ac:dyDescent="0.2"/>
    <row r="83" ht="94.35" customHeight="1" x14ac:dyDescent="0.2"/>
    <row r="84" ht="94.35" customHeight="1" x14ac:dyDescent="0.2"/>
    <row r="85" ht="94.35" customHeight="1" x14ac:dyDescent="0.2"/>
    <row r="86" ht="94.35" customHeight="1" x14ac:dyDescent="0.2"/>
    <row r="87" ht="94.35" customHeight="1" x14ac:dyDescent="0.2"/>
    <row r="88" ht="94.35" customHeight="1" x14ac:dyDescent="0.2"/>
    <row r="89" ht="94.35" customHeight="1" x14ac:dyDescent="0.2"/>
    <row r="90" ht="94.35" customHeight="1" x14ac:dyDescent="0.2"/>
    <row r="91" ht="94.35" customHeight="1" x14ac:dyDescent="0.2"/>
    <row r="92" ht="94.35" customHeight="1" x14ac:dyDescent="0.2"/>
    <row r="93" ht="94.35" customHeight="1" x14ac:dyDescent="0.2"/>
    <row r="94" ht="94.35" customHeight="1" x14ac:dyDescent="0.2"/>
    <row r="95" ht="94.35" customHeight="1" x14ac:dyDescent="0.2"/>
    <row r="96" ht="94.35" customHeight="1" x14ac:dyDescent="0.2"/>
    <row r="97" ht="94.35" customHeight="1" x14ac:dyDescent="0.2"/>
    <row r="98" ht="94.35" customHeight="1" x14ac:dyDescent="0.2"/>
    <row r="99" ht="94.35" customHeight="1" x14ac:dyDescent="0.2"/>
    <row r="100" ht="94.35" customHeight="1" x14ac:dyDescent="0.2"/>
  </sheetData>
  <mergeCells count="4">
    <mergeCell ref="B1:E1"/>
    <mergeCell ref="A2:A3"/>
    <mergeCell ref="B2:E3"/>
    <mergeCell ref="B4:E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100"/>
  <sheetViews>
    <sheetView tabSelected="1" topLeftCell="A37" workbookViewId="0"/>
  </sheetViews>
  <sheetFormatPr defaultRowHeight="13.2" x14ac:dyDescent="0.2"/>
  <cols>
    <col min="1" max="1" width="14" customWidth="1"/>
    <col min="2" max="2" width="34" customWidth="1"/>
    <col min="3" max="3" width="58" customWidth="1"/>
    <col min="4" max="4" width="48" customWidth="1"/>
    <col min="5" max="5" width="38" customWidth="1"/>
    <col min="7" max="7" width="13" customWidth="1"/>
    <col min="10" max="10" width="13" customWidth="1"/>
    <col min="13" max="13" width="13" customWidth="1"/>
  </cols>
  <sheetData>
    <row r="1" spans="1:15" ht="13.8" x14ac:dyDescent="0.25">
      <c r="A1" s="68"/>
      <c r="B1" s="157"/>
      <c r="C1" s="157"/>
      <c r="D1" s="157"/>
      <c r="E1" s="157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ht="33.6" customHeight="1" x14ac:dyDescent="0.2">
      <c r="A2" s="158" t="s">
        <v>29</v>
      </c>
      <c r="B2" s="157" t="s">
        <v>571</v>
      </c>
      <c r="C2" s="157"/>
      <c r="D2" s="157"/>
      <c r="E2" s="157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ht="33.6" customHeight="1" x14ac:dyDescent="0.2">
      <c r="A3" s="158" t="s">
        <v>30</v>
      </c>
      <c r="B3" s="157" t="s">
        <v>572</v>
      </c>
      <c r="C3" s="157"/>
      <c r="D3" s="157"/>
      <c r="E3" s="157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ht="26.4" x14ac:dyDescent="0.25">
      <c r="A4" s="68" t="s">
        <v>31</v>
      </c>
      <c r="B4" s="157">
        <v>28</v>
      </c>
      <c r="C4" s="157"/>
      <c r="D4" s="157"/>
      <c r="E4" s="157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ht="26.4" x14ac:dyDescent="0.25">
      <c r="A5" s="69" t="s">
        <v>360</v>
      </c>
      <c r="B5" s="70" t="s">
        <v>24</v>
      </c>
      <c r="C5" s="70" t="s">
        <v>25</v>
      </c>
      <c r="D5" s="70" t="s">
        <v>26</v>
      </c>
      <c r="E5" s="70" t="s">
        <v>27</v>
      </c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ht="13.8" x14ac:dyDescent="0.25">
      <c r="A6" s="69" t="s">
        <v>361</v>
      </c>
      <c r="B6" s="70">
        <f>COUNTIF($F$12:$F$1005,B$5)</f>
        <v>28</v>
      </c>
      <c r="C6" s="70">
        <f>COUNTIF($F$12:$F$1005,C$5)</f>
        <v>0</v>
      </c>
      <c r="D6" s="70">
        <f>COUNTIF($F$12:$F$1005,D$5)</f>
        <v>0</v>
      </c>
      <c r="E6" s="70">
        <f>COUNTIF($F$12:$F$1005,E$5)</f>
        <v>0</v>
      </c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ht="13.8" x14ac:dyDescent="0.25">
      <c r="A7" s="69" t="s">
        <v>362</v>
      </c>
      <c r="B7" s="70">
        <f>COUNTIF($I$12:$I$1005,B$5)</f>
        <v>28</v>
      </c>
      <c r="C7" s="70">
        <f>COUNTIF($I$12:$I$1005,C$5)</f>
        <v>0</v>
      </c>
      <c r="D7" s="70">
        <f>COUNTIF($I$12:$I$1005,D$5)</f>
        <v>0</v>
      </c>
      <c r="E7" s="70">
        <f>COUNTIF($I$12:$I$1005,E$5)</f>
        <v>0</v>
      </c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ht="13.8" x14ac:dyDescent="0.25">
      <c r="A8" s="69" t="s">
        <v>363</v>
      </c>
      <c r="B8" s="70">
        <f>COUNTIF($L$12:$L$1005,B$5)</f>
        <v>28</v>
      </c>
      <c r="C8" s="70">
        <f>COUNTIF($L$12:$L$1005,C$5)</f>
        <v>0</v>
      </c>
      <c r="D8" s="70">
        <f>COUNTIF($L$12:$L$1005,D$5)</f>
        <v>0</v>
      </c>
      <c r="E8" s="70">
        <f>COUNTIF($L$12:$L$1005,E$5)</f>
        <v>0</v>
      </c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ht="26.4" x14ac:dyDescent="0.25">
      <c r="A10" s="71" t="s">
        <v>364</v>
      </c>
      <c r="B10" s="71" t="s">
        <v>365</v>
      </c>
      <c r="C10" s="71" t="s">
        <v>366</v>
      </c>
      <c r="D10" s="71" t="s">
        <v>367</v>
      </c>
      <c r="E10" s="71" t="s">
        <v>368</v>
      </c>
      <c r="F10" s="71" t="s">
        <v>361</v>
      </c>
      <c r="G10" s="71" t="s">
        <v>369</v>
      </c>
      <c r="H10" s="71" t="s">
        <v>370</v>
      </c>
      <c r="I10" s="71" t="s">
        <v>362</v>
      </c>
      <c r="J10" s="71" t="s">
        <v>369</v>
      </c>
      <c r="K10" s="71" t="s">
        <v>370</v>
      </c>
      <c r="L10" s="71" t="s">
        <v>363</v>
      </c>
      <c r="M10" s="71" t="s">
        <v>369</v>
      </c>
      <c r="N10" s="71" t="s">
        <v>370</v>
      </c>
      <c r="O10" s="71" t="s">
        <v>371</v>
      </c>
    </row>
    <row r="11" spans="1:15" ht="34.200000000000003" customHeight="1" x14ac:dyDescent="0.25">
      <c r="A11" s="62" t="s">
        <v>573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</row>
    <row r="12" spans="1:15" ht="94.35" customHeight="1" x14ac:dyDescent="0.25">
      <c r="A12" s="59" t="s">
        <v>574</v>
      </c>
      <c r="B12" s="59" t="s">
        <v>255</v>
      </c>
      <c r="C12" s="59" t="s">
        <v>575</v>
      </c>
      <c r="D12" s="59" t="s">
        <v>256</v>
      </c>
      <c r="E12" s="59" t="s">
        <v>257</v>
      </c>
      <c r="F12" s="59" t="s">
        <v>24</v>
      </c>
      <c r="G12" s="67">
        <v>46235</v>
      </c>
      <c r="H12" s="59" t="s">
        <v>375</v>
      </c>
      <c r="I12" s="59" t="s">
        <v>24</v>
      </c>
      <c r="J12" s="67">
        <v>46242</v>
      </c>
      <c r="K12" s="59" t="s">
        <v>375</v>
      </c>
      <c r="L12" s="59" t="s">
        <v>24</v>
      </c>
      <c r="M12" s="67">
        <v>46249</v>
      </c>
      <c r="N12" s="59" t="s">
        <v>375</v>
      </c>
      <c r="O12" s="59"/>
    </row>
    <row r="13" spans="1:15" ht="94.35" customHeight="1" x14ac:dyDescent="0.25">
      <c r="A13" s="59" t="s">
        <v>576</v>
      </c>
      <c r="B13" s="59" t="s">
        <v>258</v>
      </c>
      <c r="C13" s="59" t="s">
        <v>577</v>
      </c>
      <c r="D13" s="59" t="s">
        <v>259</v>
      </c>
      <c r="E13" s="59" t="s">
        <v>260</v>
      </c>
      <c r="F13" s="59" t="s">
        <v>24</v>
      </c>
      <c r="G13" s="67">
        <v>46235</v>
      </c>
      <c r="H13" s="59" t="s">
        <v>375</v>
      </c>
      <c r="I13" s="59" t="s">
        <v>24</v>
      </c>
      <c r="J13" s="67">
        <v>46242</v>
      </c>
      <c r="K13" s="59" t="s">
        <v>375</v>
      </c>
      <c r="L13" s="59" t="s">
        <v>24</v>
      </c>
      <c r="M13" s="67">
        <v>46249</v>
      </c>
      <c r="N13" s="59" t="s">
        <v>375</v>
      </c>
      <c r="O13" s="59"/>
    </row>
    <row r="14" spans="1:15" ht="94.35" customHeight="1" x14ac:dyDescent="0.25">
      <c r="A14" s="59" t="s">
        <v>578</v>
      </c>
      <c r="B14" s="59" t="s">
        <v>261</v>
      </c>
      <c r="C14" s="59" t="s">
        <v>579</v>
      </c>
      <c r="D14" s="59" t="s">
        <v>262</v>
      </c>
      <c r="E14" s="59" t="s">
        <v>263</v>
      </c>
      <c r="F14" s="59" t="s">
        <v>24</v>
      </c>
      <c r="G14" s="67">
        <v>46235</v>
      </c>
      <c r="H14" s="59" t="s">
        <v>375</v>
      </c>
      <c r="I14" s="59" t="s">
        <v>24</v>
      </c>
      <c r="J14" s="67">
        <v>46242</v>
      </c>
      <c r="K14" s="59" t="s">
        <v>375</v>
      </c>
      <c r="L14" s="59" t="s">
        <v>24</v>
      </c>
      <c r="M14" s="67">
        <v>46249</v>
      </c>
      <c r="N14" s="59" t="s">
        <v>375</v>
      </c>
      <c r="O14" s="59"/>
    </row>
    <row r="15" spans="1:15" ht="94.35" customHeight="1" x14ac:dyDescent="0.25">
      <c r="A15" s="59" t="s">
        <v>580</v>
      </c>
      <c r="B15" s="59" t="s">
        <v>264</v>
      </c>
      <c r="C15" s="59" t="s">
        <v>581</v>
      </c>
      <c r="D15" s="59" t="s">
        <v>265</v>
      </c>
      <c r="E15" s="59" t="s">
        <v>266</v>
      </c>
      <c r="F15" s="59" t="s">
        <v>24</v>
      </c>
      <c r="G15" s="67">
        <v>46235</v>
      </c>
      <c r="H15" s="59" t="s">
        <v>375</v>
      </c>
      <c r="I15" s="59" t="s">
        <v>24</v>
      </c>
      <c r="J15" s="67">
        <v>46242</v>
      </c>
      <c r="K15" s="59" t="s">
        <v>375</v>
      </c>
      <c r="L15" s="59" t="s">
        <v>24</v>
      </c>
      <c r="M15" s="67">
        <v>46249</v>
      </c>
      <c r="N15" s="59" t="s">
        <v>375</v>
      </c>
      <c r="O15" s="59"/>
    </row>
    <row r="16" spans="1:15" ht="94.35" customHeight="1" x14ac:dyDescent="0.25">
      <c r="A16" s="59" t="s">
        <v>582</v>
      </c>
      <c r="B16" s="59" t="s">
        <v>276</v>
      </c>
      <c r="C16" s="59" t="s">
        <v>583</v>
      </c>
      <c r="D16" s="59" t="s">
        <v>277</v>
      </c>
      <c r="E16" s="59" t="s">
        <v>278</v>
      </c>
      <c r="F16" s="59" t="s">
        <v>24</v>
      </c>
      <c r="G16" s="67">
        <v>46235</v>
      </c>
      <c r="H16" s="59" t="s">
        <v>375</v>
      </c>
      <c r="I16" s="59" t="s">
        <v>24</v>
      </c>
      <c r="J16" s="67">
        <v>46242</v>
      </c>
      <c r="K16" s="59" t="s">
        <v>375</v>
      </c>
      <c r="L16" s="59" t="s">
        <v>24</v>
      </c>
      <c r="M16" s="67">
        <v>46249</v>
      </c>
      <c r="N16" s="59" t="s">
        <v>375</v>
      </c>
      <c r="O16" s="59"/>
    </row>
    <row r="17" spans="1:15" ht="94.35" customHeight="1" x14ac:dyDescent="0.25">
      <c r="A17" s="59" t="s">
        <v>584</v>
      </c>
      <c r="B17" s="59" t="s">
        <v>303</v>
      </c>
      <c r="C17" s="59" t="s">
        <v>585</v>
      </c>
      <c r="D17" s="59" t="s">
        <v>304</v>
      </c>
      <c r="E17" s="59" t="s">
        <v>305</v>
      </c>
      <c r="F17" s="59" t="s">
        <v>24</v>
      </c>
      <c r="G17" s="67">
        <v>46235</v>
      </c>
      <c r="H17" s="59" t="s">
        <v>375</v>
      </c>
      <c r="I17" s="59" t="s">
        <v>24</v>
      </c>
      <c r="J17" s="67">
        <v>46242</v>
      </c>
      <c r="K17" s="59" t="s">
        <v>375</v>
      </c>
      <c r="L17" s="59" t="s">
        <v>24</v>
      </c>
      <c r="M17" s="67">
        <v>46249</v>
      </c>
      <c r="N17" s="59" t="s">
        <v>375</v>
      </c>
      <c r="O17" s="59"/>
    </row>
    <row r="18" spans="1:15" ht="94.35" customHeight="1" x14ac:dyDescent="0.25">
      <c r="A18" s="59" t="s">
        <v>586</v>
      </c>
      <c r="B18" s="59" t="s">
        <v>306</v>
      </c>
      <c r="C18" s="59" t="s">
        <v>587</v>
      </c>
      <c r="D18" s="59" t="s">
        <v>307</v>
      </c>
      <c r="E18" s="59" t="s">
        <v>308</v>
      </c>
      <c r="F18" s="59" t="s">
        <v>24</v>
      </c>
      <c r="G18" s="67">
        <v>46235</v>
      </c>
      <c r="H18" s="59" t="s">
        <v>375</v>
      </c>
      <c r="I18" s="59" t="s">
        <v>24</v>
      </c>
      <c r="J18" s="67">
        <v>46242</v>
      </c>
      <c r="K18" s="59" t="s">
        <v>375</v>
      </c>
      <c r="L18" s="59" t="s">
        <v>24</v>
      </c>
      <c r="M18" s="67">
        <v>46249</v>
      </c>
      <c r="N18" s="59" t="s">
        <v>375</v>
      </c>
      <c r="O18" s="59"/>
    </row>
    <row r="19" spans="1:15" ht="94.35" customHeight="1" x14ac:dyDescent="0.25">
      <c r="A19" s="59" t="s">
        <v>588</v>
      </c>
      <c r="B19" s="59" t="s">
        <v>309</v>
      </c>
      <c r="C19" s="59" t="s">
        <v>589</v>
      </c>
      <c r="D19" s="59" t="s">
        <v>310</v>
      </c>
      <c r="E19" s="59" t="s">
        <v>311</v>
      </c>
      <c r="F19" s="59" t="s">
        <v>24</v>
      </c>
      <c r="G19" s="67">
        <v>46235</v>
      </c>
      <c r="H19" s="59" t="s">
        <v>375</v>
      </c>
      <c r="I19" s="59" t="s">
        <v>24</v>
      </c>
      <c r="J19" s="67">
        <v>46242</v>
      </c>
      <c r="K19" s="59" t="s">
        <v>375</v>
      </c>
      <c r="L19" s="59" t="s">
        <v>24</v>
      </c>
      <c r="M19" s="67">
        <v>46249</v>
      </c>
      <c r="N19" s="59" t="s">
        <v>375</v>
      </c>
      <c r="O19" s="59"/>
    </row>
    <row r="20" spans="1:15" ht="94.35" customHeight="1" x14ac:dyDescent="0.25">
      <c r="A20" s="59" t="s">
        <v>590</v>
      </c>
      <c r="B20" s="59" t="s">
        <v>312</v>
      </c>
      <c r="C20" s="59" t="s">
        <v>591</v>
      </c>
      <c r="D20" s="59" t="s">
        <v>313</v>
      </c>
      <c r="E20" s="59" t="s">
        <v>314</v>
      </c>
      <c r="F20" s="59" t="s">
        <v>24</v>
      </c>
      <c r="G20" s="67">
        <v>46235</v>
      </c>
      <c r="H20" s="59" t="s">
        <v>375</v>
      </c>
      <c r="I20" s="59" t="s">
        <v>24</v>
      </c>
      <c r="J20" s="67">
        <v>46242</v>
      </c>
      <c r="K20" s="59" t="s">
        <v>375</v>
      </c>
      <c r="L20" s="59" t="s">
        <v>24</v>
      </c>
      <c r="M20" s="67">
        <v>46249</v>
      </c>
      <c r="N20" s="59" t="s">
        <v>375</v>
      </c>
      <c r="O20" s="59"/>
    </row>
    <row r="21" spans="1:15" ht="94.35" customHeight="1" x14ac:dyDescent="0.25">
      <c r="A21" s="59" t="s">
        <v>592</v>
      </c>
      <c r="B21" s="59" t="s">
        <v>315</v>
      </c>
      <c r="C21" s="59" t="s">
        <v>593</v>
      </c>
      <c r="D21" s="59" t="s">
        <v>316</v>
      </c>
      <c r="E21" s="59" t="s">
        <v>317</v>
      </c>
      <c r="F21" s="59" t="s">
        <v>24</v>
      </c>
      <c r="G21" s="67">
        <v>46235</v>
      </c>
      <c r="H21" s="59" t="s">
        <v>375</v>
      </c>
      <c r="I21" s="59" t="s">
        <v>24</v>
      </c>
      <c r="J21" s="67">
        <v>46242</v>
      </c>
      <c r="K21" s="59" t="s">
        <v>375</v>
      </c>
      <c r="L21" s="59" t="s">
        <v>24</v>
      </c>
      <c r="M21" s="67">
        <v>46249</v>
      </c>
      <c r="N21" s="59" t="s">
        <v>375</v>
      </c>
      <c r="O21" s="59"/>
    </row>
    <row r="22" spans="1:15" ht="36.6" customHeight="1" x14ac:dyDescent="0.25">
      <c r="A22" s="62" t="s">
        <v>594</v>
      </c>
      <c r="B22" s="62"/>
      <c r="C22" s="62"/>
      <c r="D22" s="62"/>
      <c r="E22" s="62"/>
      <c r="F22" s="62"/>
      <c r="G22" s="66"/>
      <c r="H22" s="62"/>
      <c r="I22" s="62"/>
      <c r="J22" s="66"/>
      <c r="K22" s="62"/>
      <c r="L22" s="62"/>
      <c r="M22" s="66"/>
      <c r="N22" s="62"/>
      <c r="O22" s="62"/>
    </row>
    <row r="23" spans="1:15" ht="94.35" customHeight="1" x14ac:dyDescent="0.25">
      <c r="A23" s="59" t="s">
        <v>595</v>
      </c>
      <c r="B23" s="59" t="s">
        <v>267</v>
      </c>
      <c r="C23" s="59" t="s">
        <v>596</v>
      </c>
      <c r="D23" s="59" t="s">
        <v>268</v>
      </c>
      <c r="E23" s="59" t="s">
        <v>269</v>
      </c>
      <c r="F23" s="59" t="s">
        <v>24</v>
      </c>
      <c r="G23" s="67">
        <v>46235</v>
      </c>
      <c r="H23" s="59" t="s">
        <v>375</v>
      </c>
      <c r="I23" s="59" t="s">
        <v>24</v>
      </c>
      <c r="J23" s="67">
        <v>46242</v>
      </c>
      <c r="K23" s="59" t="s">
        <v>375</v>
      </c>
      <c r="L23" s="59" t="s">
        <v>24</v>
      </c>
      <c r="M23" s="67">
        <v>46249</v>
      </c>
      <c r="N23" s="59" t="s">
        <v>375</v>
      </c>
      <c r="O23" s="59"/>
    </row>
    <row r="24" spans="1:15" ht="94.35" customHeight="1" x14ac:dyDescent="0.25">
      <c r="A24" s="59" t="s">
        <v>597</v>
      </c>
      <c r="B24" s="59" t="s">
        <v>270</v>
      </c>
      <c r="C24" s="59" t="s">
        <v>598</v>
      </c>
      <c r="D24" s="59" t="s">
        <v>271</v>
      </c>
      <c r="E24" s="59" t="s">
        <v>272</v>
      </c>
      <c r="F24" s="59" t="s">
        <v>24</v>
      </c>
      <c r="G24" s="67">
        <v>46235</v>
      </c>
      <c r="H24" s="59" t="s">
        <v>375</v>
      </c>
      <c r="I24" s="59" t="s">
        <v>24</v>
      </c>
      <c r="J24" s="67">
        <v>46242</v>
      </c>
      <c r="K24" s="59" t="s">
        <v>375</v>
      </c>
      <c r="L24" s="59" t="s">
        <v>24</v>
      </c>
      <c r="M24" s="67">
        <v>46249</v>
      </c>
      <c r="N24" s="59" t="s">
        <v>375</v>
      </c>
      <c r="O24" s="59"/>
    </row>
    <row r="25" spans="1:15" ht="94.35" customHeight="1" x14ac:dyDescent="0.25">
      <c r="A25" s="59" t="s">
        <v>599</v>
      </c>
      <c r="B25" s="59" t="s">
        <v>273</v>
      </c>
      <c r="C25" s="59" t="s">
        <v>600</v>
      </c>
      <c r="D25" s="59" t="s">
        <v>274</v>
      </c>
      <c r="E25" s="59" t="s">
        <v>275</v>
      </c>
      <c r="F25" s="59" t="s">
        <v>24</v>
      </c>
      <c r="G25" s="67">
        <v>46235</v>
      </c>
      <c r="H25" s="59" t="s">
        <v>375</v>
      </c>
      <c r="I25" s="59" t="s">
        <v>24</v>
      </c>
      <c r="J25" s="67">
        <v>46242</v>
      </c>
      <c r="K25" s="59" t="s">
        <v>375</v>
      </c>
      <c r="L25" s="59" t="s">
        <v>24</v>
      </c>
      <c r="M25" s="67">
        <v>46249</v>
      </c>
      <c r="N25" s="59" t="s">
        <v>375</v>
      </c>
      <c r="O25" s="59"/>
    </row>
    <row r="26" spans="1:15" ht="94.35" customHeight="1" x14ac:dyDescent="0.25">
      <c r="A26" s="59" t="s">
        <v>601</v>
      </c>
      <c r="B26" s="59" t="s">
        <v>318</v>
      </c>
      <c r="C26" s="59" t="s">
        <v>602</v>
      </c>
      <c r="D26" s="59" t="s">
        <v>319</v>
      </c>
      <c r="E26" s="59" t="s">
        <v>320</v>
      </c>
      <c r="F26" s="59" t="s">
        <v>24</v>
      </c>
      <c r="G26" s="67">
        <v>46235</v>
      </c>
      <c r="H26" s="59" t="s">
        <v>375</v>
      </c>
      <c r="I26" s="59" t="s">
        <v>24</v>
      </c>
      <c r="J26" s="67">
        <v>46242</v>
      </c>
      <c r="K26" s="59" t="s">
        <v>375</v>
      </c>
      <c r="L26" s="59" t="s">
        <v>24</v>
      </c>
      <c r="M26" s="67">
        <v>46249</v>
      </c>
      <c r="N26" s="59" t="s">
        <v>375</v>
      </c>
      <c r="O26" s="59"/>
    </row>
    <row r="27" spans="1:15" ht="94.35" customHeight="1" x14ac:dyDescent="0.25">
      <c r="A27" s="59" t="s">
        <v>603</v>
      </c>
      <c r="B27" s="59" t="s">
        <v>321</v>
      </c>
      <c r="C27" s="59" t="s">
        <v>604</v>
      </c>
      <c r="D27" s="59" t="s">
        <v>322</v>
      </c>
      <c r="E27" s="59" t="s">
        <v>323</v>
      </c>
      <c r="F27" s="59" t="s">
        <v>24</v>
      </c>
      <c r="G27" s="67">
        <v>46235</v>
      </c>
      <c r="H27" s="59" t="s">
        <v>375</v>
      </c>
      <c r="I27" s="59" t="s">
        <v>24</v>
      </c>
      <c r="J27" s="67">
        <v>46242</v>
      </c>
      <c r="K27" s="59" t="s">
        <v>375</v>
      </c>
      <c r="L27" s="59" t="s">
        <v>24</v>
      </c>
      <c r="M27" s="67">
        <v>46249</v>
      </c>
      <c r="N27" s="59" t="s">
        <v>375</v>
      </c>
      <c r="O27" s="59"/>
    </row>
    <row r="28" spans="1:15" ht="33.6" customHeight="1" x14ac:dyDescent="0.25">
      <c r="A28" s="62" t="s">
        <v>605</v>
      </c>
      <c r="B28" s="62"/>
      <c r="C28" s="62"/>
      <c r="D28" s="62"/>
      <c r="E28" s="62"/>
      <c r="F28" s="62"/>
      <c r="G28" s="66"/>
      <c r="H28" s="62"/>
      <c r="I28" s="62"/>
      <c r="J28" s="66"/>
      <c r="K28" s="62"/>
      <c r="L28" s="62"/>
      <c r="M28" s="66"/>
      <c r="N28" s="62"/>
      <c r="O28" s="62"/>
    </row>
    <row r="29" spans="1:15" ht="94.35" customHeight="1" x14ac:dyDescent="0.25">
      <c r="A29" s="59" t="s">
        <v>606</v>
      </c>
      <c r="B29" s="59" t="s">
        <v>279</v>
      </c>
      <c r="C29" s="59" t="s">
        <v>607</v>
      </c>
      <c r="D29" s="59" t="s">
        <v>280</v>
      </c>
      <c r="E29" s="59" t="s">
        <v>281</v>
      </c>
      <c r="F29" s="59" t="s">
        <v>24</v>
      </c>
      <c r="G29" s="67">
        <v>46235</v>
      </c>
      <c r="H29" s="59" t="s">
        <v>375</v>
      </c>
      <c r="I29" s="59" t="s">
        <v>24</v>
      </c>
      <c r="J29" s="67">
        <v>46242</v>
      </c>
      <c r="K29" s="59" t="s">
        <v>375</v>
      </c>
      <c r="L29" s="59" t="s">
        <v>24</v>
      </c>
      <c r="M29" s="67">
        <v>46249</v>
      </c>
      <c r="N29" s="59" t="s">
        <v>375</v>
      </c>
      <c r="O29" s="59"/>
    </row>
    <row r="30" spans="1:15" ht="94.35" customHeight="1" x14ac:dyDescent="0.25">
      <c r="A30" s="59" t="s">
        <v>608</v>
      </c>
      <c r="B30" s="59" t="s">
        <v>282</v>
      </c>
      <c r="C30" s="59" t="s">
        <v>609</v>
      </c>
      <c r="D30" s="59" t="s">
        <v>283</v>
      </c>
      <c r="E30" s="59" t="s">
        <v>284</v>
      </c>
      <c r="F30" s="59" t="s">
        <v>24</v>
      </c>
      <c r="G30" s="67">
        <v>46235</v>
      </c>
      <c r="H30" s="59" t="s">
        <v>375</v>
      </c>
      <c r="I30" s="59" t="s">
        <v>24</v>
      </c>
      <c r="J30" s="67">
        <v>46242</v>
      </c>
      <c r="K30" s="59" t="s">
        <v>375</v>
      </c>
      <c r="L30" s="59" t="s">
        <v>24</v>
      </c>
      <c r="M30" s="67">
        <v>46249</v>
      </c>
      <c r="N30" s="59" t="s">
        <v>375</v>
      </c>
      <c r="O30" s="59"/>
    </row>
    <row r="31" spans="1:15" ht="94.35" customHeight="1" x14ac:dyDescent="0.25">
      <c r="A31" s="59" t="s">
        <v>610</v>
      </c>
      <c r="B31" s="59" t="s">
        <v>324</v>
      </c>
      <c r="C31" s="59" t="s">
        <v>611</v>
      </c>
      <c r="D31" s="59" t="s">
        <v>325</v>
      </c>
      <c r="E31" s="59" t="s">
        <v>326</v>
      </c>
      <c r="F31" s="59" t="s">
        <v>24</v>
      </c>
      <c r="G31" s="67">
        <v>46235</v>
      </c>
      <c r="H31" s="59" t="s">
        <v>375</v>
      </c>
      <c r="I31" s="59" t="s">
        <v>24</v>
      </c>
      <c r="J31" s="67">
        <v>46242</v>
      </c>
      <c r="K31" s="59" t="s">
        <v>375</v>
      </c>
      <c r="L31" s="59" t="s">
        <v>24</v>
      </c>
      <c r="M31" s="67">
        <v>46249</v>
      </c>
      <c r="N31" s="59" t="s">
        <v>375</v>
      </c>
      <c r="O31" s="59"/>
    </row>
    <row r="32" spans="1:15" ht="94.35" customHeight="1" x14ac:dyDescent="0.25">
      <c r="A32" s="59" t="s">
        <v>612</v>
      </c>
      <c r="B32" s="59" t="s">
        <v>327</v>
      </c>
      <c r="C32" s="59" t="s">
        <v>613</v>
      </c>
      <c r="D32" s="59" t="s">
        <v>328</v>
      </c>
      <c r="E32" s="59" t="s">
        <v>329</v>
      </c>
      <c r="F32" s="59" t="s">
        <v>24</v>
      </c>
      <c r="G32" s="67">
        <v>46235</v>
      </c>
      <c r="H32" s="59" t="s">
        <v>375</v>
      </c>
      <c r="I32" s="59" t="s">
        <v>24</v>
      </c>
      <c r="J32" s="67">
        <v>46242</v>
      </c>
      <c r="K32" s="59" t="s">
        <v>375</v>
      </c>
      <c r="L32" s="59" t="s">
        <v>24</v>
      </c>
      <c r="M32" s="67">
        <v>46249</v>
      </c>
      <c r="N32" s="59" t="s">
        <v>375</v>
      </c>
      <c r="O32" s="59"/>
    </row>
    <row r="33" spans="1:15" ht="94.35" customHeight="1" x14ac:dyDescent="0.25">
      <c r="A33" s="59" t="s">
        <v>614</v>
      </c>
      <c r="B33" s="59" t="s">
        <v>330</v>
      </c>
      <c r="C33" s="59" t="s">
        <v>615</v>
      </c>
      <c r="D33" s="59" t="s">
        <v>331</v>
      </c>
      <c r="E33" s="59" t="s">
        <v>332</v>
      </c>
      <c r="F33" s="59" t="s">
        <v>24</v>
      </c>
      <c r="G33" s="67">
        <v>46235</v>
      </c>
      <c r="H33" s="59" t="s">
        <v>375</v>
      </c>
      <c r="I33" s="59" t="s">
        <v>24</v>
      </c>
      <c r="J33" s="67">
        <v>46242</v>
      </c>
      <c r="K33" s="59" t="s">
        <v>375</v>
      </c>
      <c r="L33" s="59" t="s">
        <v>24</v>
      </c>
      <c r="M33" s="67">
        <v>46249</v>
      </c>
      <c r="N33" s="59" t="s">
        <v>375</v>
      </c>
      <c r="O33" s="59"/>
    </row>
    <row r="34" spans="1:15" ht="94.35" customHeight="1" x14ac:dyDescent="0.25">
      <c r="A34" s="59" t="s">
        <v>616</v>
      </c>
      <c r="B34" s="59" t="s">
        <v>333</v>
      </c>
      <c r="C34" s="59" t="s">
        <v>617</v>
      </c>
      <c r="D34" s="59" t="s">
        <v>334</v>
      </c>
      <c r="E34" s="59" t="s">
        <v>335</v>
      </c>
      <c r="F34" s="59" t="s">
        <v>24</v>
      </c>
      <c r="G34" s="67">
        <v>46235</v>
      </c>
      <c r="H34" s="59" t="s">
        <v>375</v>
      </c>
      <c r="I34" s="59" t="s">
        <v>24</v>
      </c>
      <c r="J34" s="67">
        <v>46242</v>
      </c>
      <c r="K34" s="59" t="s">
        <v>375</v>
      </c>
      <c r="L34" s="59" t="s">
        <v>24</v>
      </c>
      <c r="M34" s="67">
        <v>46249</v>
      </c>
      <c r="N34" s="59" t="s">
        <v>375</v>
      </c>
      <c r="O34" s="59"/>
    </row>
    <row r="35" spans="1:15" ht="37.799999999999997" customHeight="1" x14ac:dyDescent="0.25">
      <c r="A35" s="62" t="s">
        <v>618</v>
      </c>
      <c r="B35" s="62"/>
      <c r="C35" s="62"/>
      <c r="D35" s="62"/>
      <c r="E35" s="62"/>
      <c r="F35" s="62"/>
      <c r="G35" s="66"/>
      <c r="H35" s="62"/>
      <c r="I35" s="62"/>
      <c r="J35" s="66"/>
      <c r="K35" s="62"/>
      <c r="L35" s="62"/>
      <c r="M35" s="66"/>
      <c r="N35" s="62"/>
      <c r="O35" s="62"/>
    </row>
    <row r="36" spans="1:15" ht="94.35" customHeight="1" x14ac:dyDescent="0.25">
      <c r="A36" s="59" t="s">
        <v>619</v>
      </c>
      <c r="B36" s="59" t="s">
        <v>285</v>
      </c>
      <c r="C36" s="59" t="s">
        <v>620</v>
      </c>
      <c r="D36" s="59" t="s">
        <v>286</v>
      </c>
      <c r="E36" s="59" t="s">
        <v>287</v>
      </c>
      <c r="F36" s="59" t="s">
        <v>24</v>
      </c>
      <c r="G36" s="67">
        <v>46235</v>
      </c>
      <c r="H36" s="59" t="s">
        <v>375</v>
      </c>
      <c r="I36" s="59" t="s">
        <v>24</v>
      </c>
      <c r="J36" s="67">
        <v>46242</v>
      </c>
      <c r="K36" s="59" t="s">
        <v>375</v>
      </c>
      <c r="L36" s="59" t="s">
        <v>24</v>
      </c>
      <c r="M36" s="67">
        <v>46249</v>
      </c>
      <c r="N36" s="59" t="s">
        <v>375</v>
      </c>
      <c r="O36" s="59"/>
    </row>
    <row r="37" spans="1:15" ht="94.35" customHeight="1" x14ac:dyDescent="0.25">
      <c r="A37" s="59" t="s">
        <v>621</v>
      </c>
      <c r="B37" s="59" t="s">
        <v>288</v>
      </c>
      <c r="C37" s="59" t="s">
        <v>622</v>
      </c>
      <c r="D37" s="59" t="s">
        <v>289</v>
      </c>
      <c r="E37" s="59" t="s">
        <v>290</v>
      </c>
      <c r="F37" s="59" t="s">
        <v>24</v>
      </c>
      <c r="G37" s="67">
        <v>46235</v>
      </c>
      <c r="H37" s="59" t="s">
        <v>375</v>
      </c>
      <c r="I37" s="59" t="s">
        <v>24</v>
      </c>
      <c r="J37" s="67">
        <v>46242</v>
      </c>
      <c r="K37" s="59" t="s">
        <v>375</v>
      </c>
      <c r="L37" s="59" t="s">
        <v>24</v>
      </c>
      <c r="M37" s="67">
        <v>46249</v>
      </c>
      <c r="N37" s="59" t="s">
        <v>375</v>
      </c>
      <c r="O37" s="59"/>
    </row>
    <row r="38" spans="1:15" ht="94.35" customHeight="1" x14ac:dyDescent="0.25">
      <c r="A38" s="59" t="s">
        <v>623</v>
      </c>
      <c r="B38" s="59" t="s">
        <v>291</v>
      </c>
      <c r="C38" s="59" t="s">
        <v>624</v>
      </c>
      <c r="D38" s="59" t="s">
        <v>292</v>
      </c>
      <c r="E38" s="59" t="s">
        <v>293</v>
      </c>
      <c r="F38" s="59" t="s">
        <v>24</v>
      </c>
      <c r="G38" s="67">
        <v>46235</v>
      </c>
      <c r="H38" s="59" t="s">
        <v>375</v>
      </c>
      <c r="I38" s="59" t="s">
        <v>24</v>
      </c>
      <c r="J38" s="67">
        <v>46242</v>
      </c>
      <c r="K38" s="59" t="s">
        <v>375</v>
      </c>
      <c r="L38" s="59" t="s">
        <v>24</v>
      </c>
      <c r="M38" s="67">
        <v>46249</v>
      </c>
      <c r="N38" s="59" t="s">
        <v>375</v>
      </c>
      <c r="O38" s="59"/>
    </row>
    <row r="39" spans="1:15" ht="94.35" customHeight="1" x14ac:dyDescent="0.25">
      <c r="A39" s="59" t="s">
        <v>625</v>
      </c>
      <c r="B39" s="59" t="s">
        <v>294</v>
      </c>
      <c r="C39" s="59" t="s">
        <v>626</v>
      </c>
      <c r="D39" s="59" t="s">
        <v>295</v>
      </c>
      <c r="E39" s="59" t="s">
        <v>296</v>
      </c>
      <c r="F39" s="59" t="s">
        <v>24</v>
      </c>
      <c r="G39" s="67">
        <v>46235</v>
      </c>
      <c r="H39" s="59" t="s">
        <v>375</v>
      </c>
      <c r="I39" s="59" t="s">
        <v>24</v>
      </c>
      <c r="J39" s="67">
        <v>46242</v>
      </c>
      <c r="K39" s="59" t="s">
        <v>375</v>
      </c>
      <c r="L39" s="59" t="s">
        <v>24</v>
      </c>
      <c r="M39" s="67">
        <v>46249</v>
      </c>
      <c r="N39" s="59" t="s">
        <v>375</v>
      </c>
      <c r="O39" s="59"/>
    </row>
    <row r="40" spans="1:15" ht="94.35" customHeight="1" x14ac:dyDescent="0.25">
      <c r="A40" s="59" t="s">
        <v>627</v>
      </c>
      <c r="B40" s="59" t="s">
        <v>336</v>
      </c>
      <c r="C40" s="59" t="s">
        <v>628</v>
      </c>
      <c r="D40" s="59" t="s">
        <v>337</v>
      </c>
      <c r="E40" s="59" t="s">
        <v>338</v>
      </c>
      <c r="F40" s="59" t="s">
        <v>24</v>
      </c>
      <c r="G40" s="67">
        <v>46235</v>
      </c>
      <c r="H40" s="59" t="s">
        <v>375</v>
      </c>
      <c r="I40" s="59" t="s">
        <v>24</v>
      </c>
      <c r="J40" s="67">
        <v>46242</v>
      </c>
      <c r="K40" s="59" t="s">
        <v>375</v>
      </c>
      <c r="L40" s="59" t="s">
        <v>24</v>
      </c>
      <c r="M40" s="67">
        <v>46249</v>
      </c>
      <c r="N40" s="59" t="s">
        <v>375</v>
      </c>
      <c r="O40" s="59"/>
    </row>
    <row r="41" spans="1:15" ht="55.8" customHeight="1" x14ac:dyDescent="0.25">
      <c r="A41" s="62" t="s">
        <v>629</v>
      </c>
      <c r="B41" s="62"/>
      <c r="C41" s="62"/>
      <c r="D41" s="62"/>
      <c r="E41" s="62"/>
      <c r="F41" s="62"/>
      <c r="G41" s="66"/>
      <c r="H41" s="62"/>
      <c r="I41" s="62"/>
      <c r="J41" s="66"/>
      <c r="K41" s="62"/>
      <c r="L41" s="62"/>
      <c r="M41" s="66"/>
      <c r="N41" s="62"/>
      <c r="O41" s="62"/>
    </row>
    <row r="42" spans="1:15" ht="94.35" customHeight="1" x14ac:dyDescent="0.25">
      <c r="A42" s="59" t="s">
        <v>630</v>
      </c>
      <c r="B42" s="59" t="s">
        <v>297</v>
      </c>
      <c r="C42" s="59" t="s">
        <v>631</v>
      </c>
      <c r="D42" s="59" t="s">
        <v>298</v>
      </c>
      <c r="E42" s="59" t="s">
        <v>299</v>
      </c>
      <c r="F42" s="59" t="s">
        <v>24</v>
      </c>
      <c r="G42" s="67">
        <v>46235</v>
      </c>
      <c r="H42" s="59" t="s">
        <v>375</v>
      </c>
      <c r="I42" s="59" t="s">
        <v>24</v>
      </c>
      <c r="J42" s="67">
        <v>46242</v>
      </c>
      <c r="K42" s="59" t="s">
        <v>375</v>
      </c>
      <c r="L42" s="59" t="s">
        <v>24</v>
      </c>
      <c r="M42" s="67">
        <v>46249</v>
      </c>
      <c r="N42" s="59" t="s">
        <v>375</v>
      </c>
      <c r="O42" s="59"/>
    </row>
    <row r="43" spans="1:15" ht="94.35" customHeight="1" x14ac:dyDescent="0.25">
      <c r="A43" s="59" t="s">
        <v>632</v>
      </c>
      <c r="B43" s="59" t="s">
        <v>300</v>
      </c>
      <c r="C43" s="59" t="s">
        <v>633</v>
      </c>
      <c r="D43" s="59" t="s">
        <v>301</v>
      </c>
      <c r="E43" s="59" t="s">
        <v>302</v>
      </c>
      <c r="F43" s="59" t="s">
        <v>24</v>
      </c>
      <c r="G43" s="67">
        <v>46235</v>
      </c>
      <c r="H43" s="59" t="s">
        <v>375</v>
      </c>
      <c r="I43" s="59" t="s">
        <v>24</v>
      </c>
      <c r="J43" s="67">
        <v>46242</v>
      </c>
      <c r="K43" s="59" t="s">
        <v>375</v>
      </c>
      <c r="L43" s="59" t="s">
        <v>24</v>
      </c>
      <c r="M43" s="67">
        <v>46249</v>
      </c>
      <c r="N43" s="59" t="s">
        <v>375</v>
      </c>
      <c r="O43" s="59"/>
    </row>
    <row r="44" spans="1:15" ht="94.35" customHeight="1" x14ac:dyDescent="0.2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</row>
    <row r="45" spans="1:15" ht="94.35" customHeight="1" x14ac:dyDescent="0.2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</row>
    <row r="46" spans="1:15" ht="94.35" customHeight="1" x14ac:dyDescent="0.2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</row>
    <row r="47" spans="1:15" ht="94.35" customHeight="1" x14ac:dyDescent="0.2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</row>
    <row r="48" spans="1:15" ht="94.35" customHeight="1" x14ac:dyDescent="0.2">
      <c r="A48" s="106"/>
      <c r="B48" s="106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</row>
    <row r="49" spans="1:15" ht="94.35" customHeight="1" x14ac:dyDescent="0.2">
      <c r="A49" s="106"/>
      <c r="B49" s="106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</row>
    <row r="50" spans="1:15" ht="94.35" customHeight="1" x14ac:dyDescent="0.2">
      <c r="A50" s="106"/>
      <c r="B50" s="106"/>
      <c r="C50" s="106"/>
      <c r="D50" s="106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</row>
    <row r="51" spans="1:15" ht="94.35" customHeight="1" x14ac:dyDescent="0.2">
      <c r="A51" s="106"/>
      <c r="B51" s="106"/>
      <c r="C51" s="106"/>
      <c r="D51" s="106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</row>
    <row r="52" spans="1:15" ht="94.35" customHeight="1" x14ac:dyDescent="0.2">
      <c r="A52" s="106"/>
      <c r="B52" s="106"/>
      <c r="C52" s="106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</row>
    <row r="53" spans="1:15" ht="94.35" customHeight="1" x14ac:dyDescent="0.2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</row>
    <row r="54" spans="1:15" ht="94.35" customHeight="1" x14ac:dyDescent="0.2">
      <c r="A54" s="106"/>
      <c r="B54" s="106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</row>
    <row r="55" spans="1:15" ht="94.35" customHeight="1" x14ac:dyDescent="0.2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</row>
    <row r="56" spans="1:15" ht="94.35" customHeight="1" x14ac:dyDescent="0.2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</row>
    <row r="57" spans="1:15" ht="94.35" customHeight="1" x14ac:dyDescent="0.2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</row>
    <row r="58" spans="1:15" ht="94.35" customHeight="1" x14ac:dyDescent="0.2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</row>
    <row r="59" spans="1:15" ht="94.35" customHeight="1" x14ac:dyDescent="0.2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</row>
    <row r="60" spans="1:15" ht="94.35" customHeight="1" x14ac:dyDescent="0.2">
      <c r="A60" s="106"/>
      <c r="B60" s="106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</row>
    <row r="61" spans="1:15" ht="94.35" customHeight="1" x14ac:dyDescent="0.2">
      <c r="A61" s="106"/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</row>
    <row r="62" spans="1:15" ht="94.35" customHeight="1" x14ac:dyDescent="0.2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</row>
    <row r="63" spans="1:15" ht="94.35" customHeight="1" x14ac:dyDescent="0.2">
      <c r="A63" s="106"/>
      <c r="B63" s="106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</row>
    <row r="64" spans="1:15" ht="94.35" customHeight="1" x14ac:dyDescent="0.2">
      <c r="A64" s="106"/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</row>
    <row r="65" spans="1:15" ht="94.35" customHeight="1" x14ac:dyDescent="0.2">
      <c r="A65" s="106"/>
      <c r="B65" s="106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</row>
    <row r="66" spans="1:15" ht="94.35" customHeight="1" x14ac:dyDescent="0.2">
      <c r="A66" s="106"/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</row>
    <row r="67" spans="1:15" ht="94.35" customHeight="1" x14ac:dyDescent="0.2">
      <c r="A67" s="106"/>
      <c r="B67" s="106"/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</row>
    <row r="68" spans="1:15" ht="94.35" customHeight="1" x14ac:dyDescent="0.2">
      <c r="A68" s="106"/>
      <c r="B68" s="106"/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</row>
    <row r="69" spans="1:15" ht="94.35" customHeight="1" x14ac:dyDescent="0.2">
      <c r="A69" s="106"/>
      <c r="B69" s="106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</row>
    <row r="70" spans="1:15" ht="94.35" customHeight="1" x14ac:dyDescent="0.2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</row>
    <row r="71" spans="1:15" ht="94.35" customHeight="1" x14ac:dyDescent="0.2">
      <c r="A71" s="106"/>
      <c r="B71" s="106"/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</row>
    <row r="72" spans="1:15" ht="94.35" customHeight="1" x14ac:dyDescent="0.2">
      <c r="A72" s="106"/>
      <c r="B72" s="106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</row>
    <row r="73" spans="1:15" ht="94.35" customHeight="1" x14ac:dyDescent="0.2">
      <c r="A73" s="106"/>
      <c r="B73" s="106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</row>
    <row r="74" spans="1:15" ht="94.35" customHeight="1" x14ac:dyDescent="0.2">
      <c r="A74" s="106"/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</row>
    <row r="75" spans="1:15" ht="94.35" customHeight="1" x14ac:dyDescent="0.2">
      <c r="A75" s="106"/>
      <c r="B75" s="106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</row>
    <row r="76" spans="1:15" ht="94.35" customHeight="1" x14ac:dyDescent="0.2">
      <c r="A76" s="106"/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</row>
    <row r="77" spans="1:15" ht="94.35" customHeight="1" x14ac:dyDescent="0.2">
      <c r="A77" s="106"/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</row>
    <row r="78" spans="1:15" ht="94.35" customHeight="1" x14ac:dyDescent="0.2">
      <c r="A78" s="106"/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</row>
    <row r="79" spans="1:15" ht="94.35" customHeight="1" x14ac:dyDescent="0.2">
      <c r="A79" s="106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</row>
    <row r="80" spans="1:15" ht="94.35" customHeight="1" x14ac:dyDescent="0.2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</row>
    <row r="81" ht="94.35" customHeight="1" x14ac:dyDescent="0.2"/>
    <row r="82" ht="94.35" customHeight="1" x14ac:dyDescent="0.2"/>
    <row r="83" ht="94.35" customHeight="1" x14ac:dyDescent="0.2"/>
    <row r="84" ht="94.35" customHeight="1" x14ac:dyDescent="0.2"/>
    <row r="85" ht="94.35" customHeight="1" x14ac:dyDescent="0.2"/>
    <row r="86" ht="94.35" customHeight="1" x14ac:dyDescent="0.2"/>
    <row r="87" ht="94.35" customHeight="1" x14ac:dyDescent="0.2"/>
    <row r="88" ht="94.35" customHeight="1" x14ac:dyDescent="0.2"/>
    <row r="89" ht="94.35" customHeight="1" x14ac:dyDescent="0.2"/>
    <row r="90" ht="94.35" customHeight="1" x14ac:dyDescent="0.2"/>
    <row r="91" ht="94.35" customHeight="1" x14ac:dyDescent="0.2"/>
    <row r="92" ht="94.35" customHeight="1" x14ac:dyDescent="0.2"/>
    <row r="93" ht="94.35" customHeight="1" x14ac:dyDescent="0.2"/>
    <row r="94" ht="94.35" customHeight="1" x14ac:dyDescent="0.2"/>
    <row r="95" ht="94.35" customHeight="1" x14ac:dyDescent="0.2"/>
    <row r="96" ht="94.35" customHeight="1" x14ac:dyDescent="0.2"/>
    <row r="97" ht="94.35" customHeight="1" x14ac:dyDescent="0.2"/>
    <row r="98" ht="94.35" customHeight="1" x14ac:dyDescent="0.2"/>
    <row r="99" ht="94.35" customHeight="1" x14ac:dyDescent="0.2"/>
    <row r="100" ht="94.35" customHeight="1" x14ac:dyDescent="0.2"/>
  </sheetData>
  <mergeCells count="4">
    <mergeCell ref="B1:E1"/>
    <mergeCell ref="A2:A3"/>
    <mergeCell ref="B2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Cover</vt:lpstr>
      <vt:lpstr>Test Cases</vt:lpstr>
      <vt:lpstr>Test Statistics</vt:lpstr>
      <vt:lpstr>Delivery Shipper</vt:lpstr>
      <vt:lpstr>Food Listings</vt:lpstr>
      <vt:lpstr>Reservations QR</vt:lpstr>
      <vt:lpstr>Bulk Notifications</vt:lpstr>
      <vt:lpstr>Register eKYC</vt:lpstr>
      <vt:lpstr>Profile Trust</vt:lpstr>
      <vt:lpstr>Logout</vt:lpstr>
      <vt:lpstr>Password</vt:lpstr>
      <vt:lpstr>Login</vt:lpstr>
      <vt:lpstr>Admin Controls</vt:lpstr>
      <vt:lpstr>Campaign Kitchen Ops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Huy Trần</cp:lastModifiedBy>
  <dcterms:created xsi:type="dcterms:W3CDTF">2026-08-15T08:59:53Z</dcterms:created>
  <dcterms:modified xsi:type="dcterms:W3CDTF">2026-08-15T09:39:32Z</dcterms:modified>
</cp:coreProperties>
</file>